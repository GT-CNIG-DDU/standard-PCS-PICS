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e des compétences commu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<sst xmlns="http://schemas.openxmlformats.org/spreadsheetml/2006/main" count="549" uniqueCount="170">
  <si>
    <t xml:space="preserve">NIVEAU 1</t>
  </si>
  <si>
    <t xml:space="preserve">NIVEAU 2</t>
  </si>
  <si>
    <t xml:space="preserve">NIVEAU 3</t>
  </si>
  <si>
    <t xml:space="preserve">Registre des compétences communales et intercommunales</t>
  </si>
  <si>
    <t xml:space="preserve">niveau 1</t>
  </si>
  <si>
    <t xml:space="preserve">libelle 1</t>
  </si>
  <si>
    <t xml:space="preserve">niveau 2</t>
  </si>
  <si>
    <t xml:space="preserve">libelle 2</t>
  </si>
  <si>
    <t xml:space="preserve">niveau 3</t>
  </si>
  <si>
    <t xml:space="preserve">libelle 3</t>
  </si>
  <si>
    <t xml:space="preserve">code</t>
  </si>
  <si>
    <t xml:space="preserve">libellé</t>
  </si>
  <si>
    <t xml:space="preserve">01</t>
  </si>
  <si>
    <t xml:space="preserve">sécurité</t>
  </si>
  <si>
    <t xml:space="preserve">CLSPD - CISPD</t>
  </si>
  <si>
    <t xml:space="preserve">coordination</t>
  </si>
  <si>
    <t xml:space="preserve">02</t>
  </si>
  <si>
    <t xml:space="preserve">police municipale - intercommunale</t>
  </si>
  <si>
    <t xml:space="preserve">police municipale</t>
  </si>
  <si>
    <t xml:space="preserve">police rurale</t>
  </si>
  <si>
    <t xml:space="preserve">03</t>
  </si>
  <si>
    <t xml:space="preserve">agents de surveillance de la voie publique (ASVP)</t>
  </si>
  <si>
    <t xml:space="preserve">PCS-PICS</t>
  </si>
  <si>
    <t xml:space="preserve">élaboration</t>
  </si>
  <si>
    <t xml:space="preserve">coordination intercommunale</t>
  </si>
  <si>
    <t xml:space="preserve">04</t>
  </si>
  <si>
    <t xml:space="preserve">vidéoprotection</t>
  </si>
  <si>
    <t xml:space="preserve">installation</t>
  </si>
  <si>
    <t xml:space="preserve">exploitation</t>
  </si>
  <si>
    <t xml:space="preserve">05</t>
  </si>
  <si>
    <t xml:space="preserve">police - gendarmerie - défense - justice – SIS</t>
  </si>
  <si>
    <t xml:space="preserve">construction bâtiments</t>
  </si>
  <si>
    <t xml:space="preserve">action sociale et santé</t>
  </si>
  <si>
    <t xml:space="preserve">CCAS - CIAS</t>
  </si>
  <si>
    <t xml:space="preserve">demande d'aide sociale</t>
  </si>
  <si>
    <t xml:space="preserve">recensement personnes vulnérables</t>
  </si>
  <si>
    <t xml:space="preserve">équipement public sanitaire</t>
  </si>
  <si>
    <t xml:space="preserve">subvention</t>
  </si>
  <si>
    <t xml:space="preserve">centre social ou médico-social</t>
  </si>
  <si>
    <t xml:space="preserve">création</t>
  </si>
  <si>
    <t xml:space="preserve">gestion</t>
  </si>
  <si>
    <t xml:space="preserve">fonds d'aide aux jeunes en difficulté</t>
  </si>
  <si>
    <t xml:space="preserve">00</t>
  </si>
  <si>
    <t xml:space="preserve">08</t>
  </si>
  <si>
    <t xml:space="preserve">logement</t>
  </si>
  <si>
    <t xml:space="preserve">actions d’aménagement de logements sociaux</t>
  </si>
  <si>
    <t xml:space="preserve">09</t>
  </si>
  <si>
    <t xml:space="preserve">services communal d'hygiène et de santé (SCHS)</t>
  </si>
  <si>
    <t xml:space="preserve">organisation</t>
  </si>
  <si>
    <t xml:space="preserve">financement</t>
  </si>
  <si>
    <t xml:space="preserve">alerte et veille sanitaire</t>
  </si>
  <si>
    <t xml:space="preserve">signalement</t>
  </si>
  <si>
    <t xml:space="preserve">emploi et insertion professionnelle</t>
  </si>
  <si>
    <t xml:space="preserve">réseau pour l'emploi</t>
  </si>
  <si>
    <t xml:space="preserve">enseignement</t>
  </si>
  <si>
    <t xml:space="preserve">école maternelles et primaires</t>
  </si>
  <si>
    <t xml:space="preserve">construction</t>
  </si>
  <si>
    <t xml:space="preserve">entretien</t>
  </si>
  <si>
    <t xml:space="preserve">gestion agent territorial spécialisé des écoles maternelles (ATSEM)</t>
  </si>
  <si>
    <t xml:space="preserve">restauration scolaire</t>
  </si>
  <si>
    <t xml:space="preserve">périscolaire - garderie</t>
  </si>
  <si>
    <t xml:space="preserve">service minimum</t>
  </si>
  <si>
    <t xml:space="preserve">enfance et jeunesse</t>
  </si>
  <si>
    <t xml:space="preserve">informations et accompagnement des familles avec enfants de moins de trois ans</t>
  </si>
  <si>
    <t xml:space="preserve">mode d'accueil</t>
  </si>
  <si>
    <t xml:space="preserve">planification</t>
  </si>
  <si>
    <t xml:space="preserve">soutien</t>
  </si>
  <si>
    <t xml:space="preserve">relais assistants maternels</t>
  </si>
  <si>
    <t xml:space="preserve">06</t>
  </si>
  <si>
    <t xml:space="preserve">sports</t>
  </si>
  <si>
    <t xml:space="preserve">équipements sportifs</t>
  </si>
  <si>
    <t xml:space="preserve">fonctionnement et gestion</t>
  </si>
  <si>
    <t xml:space="preserve">mise a disposition</t>
  </si>
  <si>
    <t xml:space="preserve">07</t>
  </si>
  <si>
    <t xml:space="preserve">office municipal du sport (OMS)</t>
  </si>
  <si>
    <t xml:space="preserve">action culturelle</t>
  </si>
  <si>
    <t xml:space="preserve">enseignements artistiques</t>
  </si>
  <si>
    <t xml:space="preserve">bibliothèque</t>
  </si>
  <si>
    <t xml:space="preserve">musée</t>
  </si>
  <si>
    <t xml:space="preserve">organisation et financement</t>
  </si>
  <si>
    <t xml:space="preserve">archives</t>
  </si>
  <si>
    <t xml:space="preserve">conservation</t>
  </si>
  <si>
    <t xml:space="preserve">archéologie préventive</t>
  </si>
  <si>
    <t xml:space="preserve">diagnostics et fouilles</t>
  </si>
  <si>
    <t xml:space="preserve">tourisme</t>
  </si>
  <si>
    <t xml:space="preserve">office de tourisme</t>
  </si>
  <si>
    <t xml:space="preserve">économie</t>
  </si>
  <si>
    <t xml:space="preserve">aide a l'immobilier d'entreprise</t>
  </si>
  <si>
    <t xml:space="preserve">création ou extension d’activités</t>
  </si>
  <si>
    <t xml:space="preserve">aide aux entreprises en difficulté</t>
  </si>
  <si>
    <t xml:space="preserve">aide aux professionnels de santé</t>
  </si>
  <si>
    <t xml:space="preserve">zone déficitaire</t>
  </si>
  <si>
    <t xml:space="preserve">aide aux vétérinaires</t>
  </si>
  <si>
    <t xml:space="preserve">continuité des soins aux animaux</t>
  </si>
  <si>
    <t xml:space="preserve">aide au maintien des services en milieu rural</t>
  </si>
  <si>
    <t xml:space="preserve">ingénierie financière</t>
  </si>
  <si>
    <t xml:space="preserve">politique de la ville</t>
  </si>
  <si>
    <t xml:space="preserve">quartier prioritaire</t>
  </si>
  <si>
    <t xml:space="preserve">contrat de ville</t>
  </si>
  <si>
    <t xml:space="preserve">urbanisme et aménagement</t>
  </si>
  <si>
    <t xml:space="preserve">SCOT</t>
  </si>
  <si>
    <t xml:space="preserve">PLU - PLUI</t>
  </si>
  <si>
    <t xml:space="preserve">PSMV – SPR</t>
  </si>
  <si>
    <t xml:space="preserve">autorisation d'urbanisme</t>
  </si>
  <si>
    <t xml:space="preserve">instruction</t>
  </si>
  <si>
    <t xml:space="preserve">délivrance</t>
  </si>
  <si>
    <t xml:space="preserve">opérations d'aménagement</t>
  </si>
  <si>
    <t xml:space="preserve">zone d'aménagement concerté (ZAC)</t>
  </si>
  <si>
    <t xml:space="preserve">réserve foncière</t>
  </si>
  <si>
    <t xml:space="preserve">zone d'aménagement différé (ZAD)</t>
  </si>
  <si>
    <t xml:space="preserve">parcelle en état d'abandon manifeste</t>
  </si>
  <si>
    <t xml:space="preserve">opérations de restauration immobilière</t>
  </si>
  <si>
    <t xml:space="preserve">recul du trait de cote</t>
  </si>
  <si>
    <t xml:space="preserve">aménagement du territoire et développement rural</t>
  </si>
  <si>
    <t xml:space="preserve">zonage france ruralités revitalisation</t>
  </si>
  <si>
    <t xml:space="preserve">logement et habitat</t>
  </si>
  <si>
    <t xml:space="preserve">PLH - PDH</t>
  </si>
  <si>
    <t xml:space="preserve">police des immeubles menaçant ruine (IMR)</t>
  </si>
  <si>
    <t xml:space="preserve">police des établissements recevant du public (ERP)</t>
  </si>
  <si>
    <t xml:space="preserve">police des immeubles collectifs</t>
  </si>
  <si>
    <t xml:space="preserve">SPPEH</t>
  </si>
  <si>
    <t xml:space="preserve">aire d'accueil des gens du voyage</t>
  </si>
  <si>
    <t xml:space="preserve">création et aménagement</t>
  </si>
  <si>
    <t xml:space="preserve">entretien et gestion</t>
  </si>
  <si>
    <t xml:space="preserve">environnement et patrimoine</t>
  </si>
  <si>
    <t xml:space="preserve">inventaire patrimoine naturel</t>
  </si>
  <si>
    <t xml:space="preserve">déchets</t>
  </si>
  <si>
    <t xml:space="preserve">collecte</t>
  </si>
  <si>
    <t xml:space="preserve">traitement</t>
  </si>
  <si>
    <t xml:space="preserve">eau et assainissement</t>
  </si>
  <si>
    <t xml:space="preserve">eau potable</t>
  </si>
  <si>
    <t xml:space="preserve">captage</t>
  </si>
  <si>
    <t xml:space="preserve">stockage</t>
  </si>
  <si>
    <t xml:space="preserve">transport</t>
  </si>
  <si>
    <t xml:space="preserve">distribution</t>
  </si>
  <si>
    <t xml:space="preserve">assainissement collectif</t>
  </si>
  <si>
    <t xml:space="preserve">épuration</t>
  </si>
  <si>
    <t xml:space="preserve">élimination des boues</t>
  </si>
  <si>
    <t xml:space="preserve">assainissement non collectif</t>
  </si>
  <si>
    <t xml:space="preserve">gestion des milieux aquatiques et prévention des inondations (GEMAPI)</t>
  </si>
  <si>
    <t xml:space="preserve">gestion des eaux pluviales urbaines</t>
  </si>
  <si>
    <t xml:space="preserve">gestion des eaux pluviales péri-urbaines</t>
  </si>
  <si>
    <t xml:space="preserve">réseaux câbles et télécommunications</t>
  </si>
  <si>
    <t xml:space="preserve">télévision locale</t>
  </si>
  <si>
    <t xml:space="preserve">déploiement réseau?</t>
  </si>
  <si>
    <t xml:space="preserve">réseau prive</t>
  </si>
  <si>
    <t xml:space="preserve">énergie</t>
  </si>
  <si>
    <t xml:space="preserve">production d’énergie de sources renouvelables</t>
  </si>
  <si>
    <t xml:space="preserve">aménagement</t>
  </si>
  <si>
    <t xml:space="preserve">infrastructure de charge des véhicules électriques</t>
  </si>
  <si>
    <t xml:space="preserve">plan climat-air-énergie territorial (PCAET)</t>
  </si>
  <si>
    <t xml:space="preserve">réseau de chaleur</t>
  </si>
  <si>
    <t xml:space="preserve">ports voies d’eau et liaisons maritimes</t>
  </si>
  <si>
    <t xml:space="preserve">exploitation des ports de plaisance</t>
  </si>
  <si>
    <t xml:space="preserve">exploitation des ports de pêche</t>
  </si>
  <si>
    <t xml:space="preserve">desserte des îles côtières</t>
  </si>
  <si>
    <t xml:space="preserve">aérodromes</t>
  </si>
  <si>
    <t xml:space="preserve">exploitation aéroport</t>
  </si>
  <si>
    <t xml:space="preserve">transports scolaires</t>
  </si>
  <si>
    <t xml:space="preserve">autorité organisatrice des mobilités (AOM)</t>
  </si>
  <si>
    <t xml:space="preserve">transports publics</t>
  </si>
  <si>
    <t xml:space="preserve">voirie</t>
  </si>
  <si>
    <t xml:space="preserve">communale</t>
  </si>
  <si>
    <t xml:space="preserve">chemins ruraux et domaine prive de la commune</t>
  </si>
  <si>
    <t xml:space="preserve">intercommunale</t>
  </si>
  <si>
    <t xml:space="preserve">voies vertes</t>
  </si>
  <si>
    <t xml:space="preserve">funéraire</t>
  </si>
  <si>
    <t xml:space="preserve">gestion des cimetières</t>
  </si>
  <si>
    <t xml:space="preserve">police des funérailles et des cimetières</t>
  </si>
  <si>
    <t xml:space="preserve">service des pompes funèbres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</si>
</sst>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12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E0"/>
        <bgColor rgb="FFFFFFFF"/>
      </patternFill>
    </fill>
    <fill>
      <patternFill patternType="solid">
        <fgColor rgb="FF98FB98"/>
        <bgColor rgb="FFCCFFFF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>
        <color rgb="FF999999"/>
      </right>
      <top style="thin"/>
      <bottom style="thin"/>
      <diagonal/>
    </border>
    <border diagonalUp="false" diagonalDown="false">
      <left style="thin">
        <color rgb="FF999999"/>
      </left>
      <right/>
      <top/>
      <bottom style="thin">
        <color rgb="FF999999"/>
      </bottom>
      <diagonal/>
    </border>
    <border diagonalUp="false" diagonalDown="false">
      <left style="thin">
        <color rgb="FF999999"/>
      </left>
      <right/>
      <top style="thin"/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/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8FB9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0.6796875" defaultRowHeight="15" customHeight="false" zeroHeight="false" outlineLevelRow="0" outlineLevelCol="0"/>
  <cols>
    <col collapsed="false" customWidth="false" hidden="false" outlineLevel="0" max="1" min="1" style="1" width="10.66"/>
    <col collapsed="false" customWidth="true" hidden="false" outlineLevel="0" max="2" min="2" style="2" width="53.14"/>
    <col collapsed="false" customWidth="true" hidden="false" outlineLevel="0" max="3" min="3" style="1" width="10.85"/>
    <col collapsed="false" customWidth="true" hidden="false" outlineLevel="0" max="4" min="4" style="3" width="88.34"/>
    <col collapsed="false" customWidth="true" hidden="false" outlineLevel="0" max="5" min="5" style="3" width="10.85"/>
    <col collapsed="false" customWidth="true" hidden="false" outlineLevel="0" max="6" min="6" style="3" width="71.09"/>
    <col collapsed="false" customWidth="true" hidden="false" outlineLevel="0" max="7" min="7" style="3" width="14.33"/>
    <col collapsed="false" customWidth="true" hidden="false" outlineLevel="0" max="8" min="8" style="4" width="117.43"/>
    <col collapsed="false" customWidth="true" hidden="false" outlineLevel="0" max="9" min="9" style="2" width="6.96"/>
    <col collapsed="false" customWidth="true" hidden="false" outlineLevel="0" max="11" min="11" style="2" width="20.03"/>
    <col collapsed="false" customWidth="true" hidden="false" outlineLevel="0" max="16384" min="16383" style="0" width="11.53"/>
  </cols>
  <sheetData>
    <row r="1" customFormat="false" ht="17.35" hidden="false" customHeight="false" outlineLevel="0" collapsed="false">
      <c r="A1" s="5" t="s">
        <v>0</v>
      </c>
      <c r="B1" s="5"/>
      <c r="C1" s="5" t="s">
        <v>1</v>
      </c>
      <c r="D1" s="5"/>
      <c r="E1" s="5" t="s">
        <v>2</v>
      </c>
      <c r="F1" s="5"/>
      <c r="G1" s="6" t="s">
        <v>3</v>
      </c>
      <c r="H1" s="6"/>
      <c r="I1" s="7"/>
    </row>
    <row r="2" s="13" customFormat="true" ht="15" hidden="false" customHeight="false" outlineLevel="0" collapsed="false">
      <c r="A2" s="8" t="s">
        <v>4</v>
      </c>
      <c r="B2" s="9" t="s">
        <v>5</v>
      </c>
      <c r="C2" s="10" t="s">
        <v>6</v>
      </c>
      <c r="D2" s="11" t="s">
        <v>7</v>
      </c>
      <c r="E2" s="10" t="s">
        <v>8</v>
      </c>
      <c r="F2" s="9" t="s">
        <v>9</v>
      </c>
      <c r="G2" s="10" t="s">
        <v>10</v>
      </c>
      <c r="H2" s="9" t="s">
        <v>11</v>
      </c>
      <c r="I2" s="12"/>
      <c r="K2" s="14"/>
    </row>
    <row r="3" customFormat="false" ht="15" hidden="false" customHeight="false" outlineLevel="0" collapsed="false">
      <c r="A3" s="15" t="s">
        <v>12</v>
      </c>
      <c r="B3" s="16" t="s">
        <v>13</v>
      </c>
      <c r="C3" s="15" t="s">
        <v>12</v>
      </c>
      <c r="D3" s="17" t="s">
        <v>14</v>
      </c>
      <c r="E3" s="15" t="s">
        <v>12</v>
      </c>
      <c r="F3" s="18" t="s">
        <v>15</v>
      </c>
      <c r="G3" s="19" t="str">
        <f aca="false">CONCATENATE(A3,"-",C3,"-",E3)</f>
        <v>01-01-01</v>
      </c>
      <c r="H3" s="20" t="str">
        <f aca="false">CONCATENATE(B3," / ",D3,,IF(F3="",,CONCATENATE(" / ",F3)))</f>
        <v>sécurité / CLSPD - CISPD / coordination</v>
      </c>
      <c r="I3" s="7"/>
    </row>
    <row r="4" customFormat="false" ht="15" hidden="false" customHeight="false" outlineLevel="0" collapsed="false">
      <c r="A4" s="15" t="s">
        <v>12</v>
      </c>
      <c r="B4" s="16" t="s">
        <v>13</v>
      </c>
      <c r="C4" s="15" t="s">
        <v>16</v>
      </c>
      <c r="D4" s="21" t="s">
        <v>17</v>
      </c>
      <c r="E4" s="15" t="s">
        <v>12</v>
      </c>
      <c r="F4" s="22" t="s">
        <v>18</v>
      </c>
      <c r="G4" s="19" t="str">
        <f aca="false">CONCATENATE(A4,"-",C4,"-",E4)</f>
        <v>01-02-01</v>
      </c>
      <c r="H4" s="20" t="str">
        <f aca="false">CONCATENATE(B4," / ",D4,,IF(F4="",,CONCATENATE(" / ",F4)))</f>
        <v>sécurité / police municipale - intercommunale / police municipale</v>
      </c>
      <c r="I4" s="7"/>
    </row>
    <row r="5" customFormat="false" ht="15" hidden="false" customHeight="false" outlineLevel="0" collapsed="false">
      <c r="A5" s="15" t="s">
        <v>12</v>
      </c>
      <c r="B5" s="16" t="s">
        <v>13</v>
      </c>
      <c r="C5" s="15" t="s">
        <v>16</v>
      </c>
      <c r="D5" s="21" t="s">
        <v>17</v>
      </c>
      <c r="E5" s="15" t="s">
        <v>16</v>
      </c>
      <c r="F5" s="22" t="s">
        <v>19</v>
      </c>
      <c r="G5" s="19" t="str">
        <f aca="false">CONCATENATE(A5,"-",C5,"-",E5)</f>
        <v>01-02-02</v>
      </c>
      <c r="H5" s="20" t="str">
        <f aca="false">CONCATENATE(B5," / ",D5,,IF(F5="",,CONCATENATE(" / ",F5)))</f>
        <v>sécurité / police municipale - intercommunale / police rurale</v>
      </c>
      <c r="I5" s="7"/>
    </row>
    <row r="6" customFormat="false" ht="15" hidden="false" customHeight="false" outlineLevel="0" collapsed="false">
      <c r="A6" s="15" t="s">
        <v>12</v>
      </c>
      <c r="B6" s="16" t="s">
        <v>13</v>
      </c>
      <c r="C6" s="15" t="s">
        <v>16</v>
      </c>
      <c r="D6" s="21" t="s">
        <v>17</v>
      </c>
      <c r="E6" s="15" t="s">
        <v>20</v>
      </c>
      <c r="F6" s="22" t="s">
        <v>21</v>
      </c>
      <c r="G6" s="19" t="str">
        <f aca="false">CONCATENATE(A6,"-",C6,"-",E6)</f>
        <v>01-02-03</v>
      </c>
      <c r="H6" s="20" t="str">
        <f aca="false">CONCATENATE(B6," / ",D6,,IF(F6="",,CONCATENATE(" / ",F6)))</f>
        <v>sécurité / police municipale - intercommunale / agents de surveillance de la voie publique (ASVP)</v>
      </c>
      <c r="I6" s="7"/>
    </row>
    <row r="7" customFormat="false" ht="15" hidden="false" customHeight="false" outlineLevel="0" collapsed="false">
      <c r="A7" s="15" t="s">
        <v>12</v>
      </c>
      <c r="B7" s="16" t="s">
        <v>13</v>
      </c>
      <c r="C7" s="15" t="s">
        <v>20</v>
      </c>
      <c r="D7" s="21" t="s">
        <v>22</v>
      </c>
      <c r="E7" s="15" t="s">
        <v>12</v>
      </c>
      <c r="F7" s="22" t="s">
        <v>23</v>
      </c>
      <c r="G7" s="19" t="str">
        <f aca="false">CONCATENATE(A7,"-",C7,"-",E7)</f>
        <v>01-03-01</v>
      </c>
      <c r="H7" s="20" t="str">
        <f aca="false">CONCATENATE(B7," / ",D7,,IF(F7="",,CONCATENATE(" / ",F7)))</f>
        <v>sécurité / PCS-PICS / élaboration</v>
      </c>
      <c r="I7" s="7"/>
    </row>
    <row r="8" customFormat="false" ht="15" hidden="false" customHeight="false" outlineLevel="0" collapsed="false">
      <c r="A8" s="15" t="s">
        <v>12</v>
      </c>
      <c r="B8" s="16" t="s">
        <v>13</v>
      </c>
      <c r="C8" s="15" t="s">
        <v>20</v>
      </c>
      <c r="D8" s="21" t="s">
        <v>22</v>
      </c>
      <c r="E8" s="15" t="s">
        <v>16</v>
      </c>
      <c r="F8" s="22" t="s">
        <v>24</v>
      </c>
      <c r="G8" s="19" t="str">
        <f aca="false">CONCATENATE(A8,"-",C8,"-",E8)</f>
        <v>01-03-02</v>
      </c>
      <c r="H8" s="20" t="str">
        <f aca="false">CONCATENATE(B8," / ",D8,,IF(F8="",,CONCATENATE(" / ",F8)))</f>
        <v>sécurité / PCS-PICS / coordination intercommunale</v>
      </c>
      <c r="I8" s="7"/>
    </row>
    <row r="9" customFormat="false" ht="15" hidden="false" customHeight="false" outlineLevel="0" collapsed="false">
      <c r="A9" s="15" t="s">
        <v>12</v>
      </c>
      <c r="B9" s="16" t="s">
        <v>13</v>
      </c>
      <c r="C9" s="15" t="s">
        <v>25</v>
      </c>
      <c r="D9" s="21" t="s">
        <v>26</v>
      </c>
      <c r="E9" s="15" t="s">
        <v>12</v>
      </c>
      <c r="F9" s="22" t="s">
        <v>27</v>
      </c>
      <c r="G9" s="19" t="str">
        <f aca="false">CONCATENATE(A9,"-",C9,"-",E9)</f>
        <v>01-04-01</v>
      </c>
      <c r="H9" s="20" t="str">
        <f aca="false">CONCATENATE(B9," / ",D9,,IF(F9="",,CONCATENATE(" / ",F9)))</f>
        <v>sécurité / vidéoprotection / installation</v>
      </c>
      <c r="I9" s="7"/>
    </row>
    <row r="10" customFormat="false" ht="15" hidden="false" customHeight="false" outlineLevel="0" collapsed="false">
      <c r="A10" s="15" t="s">
        <v>12</v>
      </c>
      <c r="B10" s="16" t="s">
        <v>13</v>
      </c>
      <c r="C10" s="15" t="s">
        <v>25</v>
      </c>
      <c r="D10" s="21" t="s">
        <v>26</v>
      </c>
      <c r="E10" s="15" t="s">
        <v>16</v>
      </c>
      <c r="F10" s="22" t="s">
        <v>28</v>
      </c>
      <c r="G10" s="19" t="str">
        <f aca="false">CONCATENATE(A10,"-",C10,"-",E10)</f>
        <v>01-04-02</v>
      </c>
      <c r="H10" s="20" t="str">
        <f aca="false">CONCATENATE(B10," / ",D10,,IF(F10="",,CONCATENATE(" / ",F10)))</f>
        <v>sécurité / vidéoprotection / exploitation</v>
      </c>
      <c r="I10" s="7"/>
    </row>
    <row r="11" customFormat="false" ht="15" hidden="false" customHeight="false" outlineLevel="0" collapsed="false">
      <c r="A11" s="15" t="s">
        <v>12</v>
      </c>
      <c r="B11" s="16" t="s">
        <v>13</v>
      </c>
      <c r="C11" s="15" t="s">
        <v>29</v>
      </c>
      <c r="D11" s="21" t="s">
        <v>30</v>
      </c>
      <c r="E11" s="15" t="s">
        <v>12</v>
      </c>
      <c r="F11" s="22" t="s">
        <v>31</v>
      </c>
      <c r="G11" s="19" t="str">
        <f aca="false">CONCATENATE(A11,"-",C11,"-",E11)</f>
        <v>01-05-01</v>
      </c>
      <c r="H11" s="20" t="str">
        <f aca="false">CONCATENATE(B11," / ",D11,,IF(F11="",,CONCATENATE(" / ",F11)))</f>
        <v>sécurité / police - gendarmerie - défense - justice – SIS / construction bâtiments</v>
      </c>
      <c r="I11" s="23"/>
    </row>
    <row r="12" customFormat="false" ht="15" hidden="false" customHeight="false" outlineLevel="0" collapsed="false">
      <c r="A12" s="15" t="s">
        <v>16</v>
      </c>
      <c r="B12" s="16" t="s">
        <v>32</v>
      </c>
      <c r="C12" s="15" t="s">
        <v>12</v>
      </c>
      <c r="D12" s="21" t="s">
        <v>33</v>
      </c>
      <c r="E12" s="15" t="s">
        <v>12</v>
      </c>
      <c r="F12" s="22" t="s">
        <v>34</v>
      </c>
      <c r="G12" s="19" t="str">
        <f aca="false">CONCATENATE(A12,"-",C12,"-",E12)</f>
        <v>02-01-01</v>
      </c>
      <c r="H12" s="20" t="str">
        <f aca="false">CONCATENATE(B12," / ",D12,,IF(F12="",,CONCATENATE(" / ",F12)))</f>
        <v>action sociale et santé / CCAS - CIAS / demande d'aide sociale</v>
      </c>
      <c r="I12" s="7"/>
      <c r="K12" s="24"/>
    </row>
    <row r="13" customFormat="false" ht="15" hidden="false" customHeight="false" outlineLevel="0" collapsed="false">
      <c r="A13" s="15" t="s">
        <v>16</v>
      </c>
      <c r="B13" s="16" t="s">
        <v>32</v>
      </c>
      <c r="C13" s="15" t="s">
        <v>12</v>
      </c>
      <c r="D13" s="21" t="s">
        <v>33</v>
      </c>
      <c r="E13" s="15" t="s">
        <v>16</v>
      </c>
      <c r="F13" s="22" t="s">
        <v>35</v>
      </c>
      <c r="G13" s="19" t="str">
        <f aca="false">CONCATENATE(A13,"-",C13,"-",E13)</f>
        <v>02-01-02</v>
      </c>
      <c r="H13" s="20" t="str">
        <f aca="false">CONCATENATE(B13," / ",D13,,IF(F13="",,CONCATENATE(" / ",F13)))</f>
        <v>action sociale et santé / CCAS - CIAS / recensement personnes vulnérables</v>
      </c>
      <c r="I13" s="7"/>
    </row>
    <row r="14" customFormat="false" ht="15" hidden="false" customHeight="false" outlineLevel="0" collapsed="false">
      <c r="A14" s="15" t="s">
        <v>16</v>
      </c>
      <c r="B14" s="16" t="s">
        <v>32</v>
      </c>
      <c r="C14" s="15" t="s">
        <v>16</v>
      </c>
      <c r="D14" s="21" t="s">
        <v>36</v>
      </c>
      <c r="E14" s="15" t="s">
        <v>12</v>
      </c>
      <c r="F14" s="22" t="s">
        <v>31</v>
      </c>
      <c r="G14" s="19" t="str">
        <f aca="false">CONCATENATE(A14,"-",C14,"-",E14)</f>
        <v>02-02-01</v>
      </c>
      <c r="H14" s="20" t="str">
        <f aca="false">CONCATENATE(B14," / ",D14,,IF(F14="",,CONCATENATE(" / ",F14)))</f>
        <v>action sociale et santé / équipement public sanitaire / construction bâtiments</v>
      </c>
      <c r="I14" s="7"/>
    </row>
    <row r="15" customFormat="false" ht="15" hidden="false" customHeight="false" outlineLevel="0" collapsed="false">
      <c r="A15" s="15" t="s">
        <v>16</v>
      </c>
      <c r="B15" s="16" t="s">
        <v>32</v>
      </c>
      <c r="C15" s="15" t="s">
        <v>16</v>
      </c>
      <c r="D15" s="21" t="s">
        <v>36</v>
      </c>
      <c r="E15" s="15" t="s">
        <v>16</v>
      </c>
      <c r="F15" s="22" t="s">
        <v>37</v>
      </c>
      <c r="G15" s="19" t="str">
        <f aca="false">CONCATENATE(A15,"-",C15,"-",E15)</f>
        <v>02-02-02</v>
      </c>
      <c r="H15" s="20" t="str">
        <f aca="false">CONCATENATE(B15," / ",D15,,IF(F15="",,CONCATENATE(" / ",F15)))</f>
        <v>action sociale et santé / équipement public sanitaire / subvention</v>
      </c>
      <c r="I15" s="7"/>
    </row>
    <row r="16" customFormat="false" ht="15" hidden="false" customHeight="false" outlineLevel="0" collapsed="false">
      <c r="A16" s="15" t="s">
        <v>16</v>
      </c>
      <c r="B16" s="16" t="s">
        <v>32</v>
      </c>
      <c r="C16" s="15" t="s">
        <v>20</v>
      </c>
      <c r="D16" s="21" t="s">
        <v>38</v>
      </c>
      <c r="E16" s="15" t="s">
        <v>12</v>
      </c>
      <c r="F16" s="22" t="s">
        <v>39</v>
      </c>
      <c r="G16" s="19" t="str">
        <f aca="false">CONCATENATE(A16,"-",C16,"-",E16)</f>
        <v>02-03-01</v>
      </c>
      <c r="H16" s="20" t="str">
        <f aca="false">CONCATENATE(B16," / ",D16,,IF(F16="",,CONCATENATE(" / ",F16)))</f>
        <v>action sociale et santé / centre social ou médico-social / création</v>
      </c>
      <c r="I16" s="7"/>
    </row>
    <row r="17" customFormat="false" ht="15" hidden="false" customHeight="false" outlineLevel="0" collapsed="false">
      <c r="A17" s="15" t="s">
        <v>16</v>
      </c>
      <c r="B17" s="16" t="s">
        <v>32</v>
      </c>
      <c r="C17" s="15" t="s">
        <v>20</v>
      </c>
      <c r="D17" s="21" t="s">
        <v>38</v>
      </c>
      <c r="E17" s="15" t="s">
        <v>16</v>
      </c>
      <c r="F17" s="22" t="s">
        <v>40</v>
      </c>
      <c r="G17" s="19" t="str">
        <f aca="false">CONCATENATE(A17,"-",C17,"-",E17)</f>
        <v>02-03-02</v>
      </c>
      <c r="H17" s="20" t="str">
        <f aca="false">CONCATENATE(B17," / ",D17,,IF(F17="",,CONCATENATE(" / ",F17)))</f>
        <v>action sociale et santé / centre social ou médico-social / gestion</v>
      </c>
      <c r="I17" s="7"/>
    </row>
    <row r="18" customFormat="false" ht="15" hidden="false" customHeight="false" outlineLevel="0" collapsed="false">
      <c r="A18" s="15" t="s">
        <v>16</v>
      </c>
      <c r="B18" s="16" t="s">
        <v>32</v>
      </c>
      <c r="C18" s="15" t="s">
        <v>25</v>
      </c>
      <c r="D18" s="21" t="s">
        <v>41</v>
      </c>
      <c r="E18" s="15" t="s">
        <v>42</v>
      </c>
      <c r="F18" s="22"/>
      <c r="G18" s="19" t="str">
        <f aca="false">CONCATENATE(A18,"-",C18,"-",E18)</f>
        <v>02-04-00</v>
      </c>
      <c r="H18" s="20" t="str">
        <f aca="false">CONCATENATE(B18," / ",D18,,IF(F18="",,CONCATENATE(" / ",F18)))</f>
        <v>action sociale et santé / fonds d'aide aux jeunes en difficulté</v>
      </c>
      <c r="I18" s="7"/>
    </row>
    <row r="19" customFormat="false" ht="15" hidden="false" customHeight="false" outlineLevel="0" collapsed="false">
      <c r="A19" s="15" t="s">
        <v>16</v>
      </c>
      <c r="B19" s="16" t="s">
        <v>32</v>
      </c>
      <c r="C19" s="15" t="s">
        <v>43</v>
      </c>
      <c r="D19" s="21" t="s">
        <v>44</v>
      </c>
      <c r="E19" s="15" t="s">
        <v>12</v>
      </c>
      <c r="F19" s="22" t="s">
        <v>45</v>
      </c>
      <c r="G19" s="19" t="str">
        <f aca="false">CONCATENATE(A19,"-",C19,"-",E19)</f>
        <v>02-08-01</v>
      </c>
      <c r="H19" s="20" t="str">
        <f aca="false">CONCATENATE(B19," / ",D19,,IF(F19="",,CONCATENATE(" / ",F19)))</f>
        <v>action sociale et santé / logement / actions d’aménagement de logements sociaux</v>
      </c>
      <c r="I19" s="23"/>
    </row>
    <row r="20" customFormat="false" ht="15" hidden="false" customHeight="false" outlineLevel="0" collapsed="false">
      <c r="A20" s="15" t="s">
        <v>16</v>
      </c>
      <c r="B20" s="16" t="s">
        <v>32</v>
      </c>
      <c r="C20" s="15" t="s">
        <v>46</v>
      </c>
      <c r="D20" s="21" t="s">
        <v>47</v>
      </c>
      <c r="E20" s="15" t="s">
        <v>12</v>
      </c>
      <c r="F20" s="22" t="s">
        <v>48</v>
      </c>
      <c r="G20" s="19" t="str">
        <f aca="false">CONCATENATE(A20,"-",C20,"-",E20)</f>
        <v>02-09-01</v>
      </c>
      <c r="H20" s="20" t="str">
        <f aca="false">CONCATENATE(B20," / ",D20,,IF(F20="",,CONCATENATE(" / ",F20)))</f>
        <v>action sociale et santé / services communal d'hygiène et de santé (SCHS) / organisation</v>
      </c>
      <c r="I20" s="23"/>
    </row>
    <row r="21" customFormat="false" ht="15" hidden="false" customHeight="false" outlineLevel="0" collapsed="false">
      <c r="A21" s="15" t="s">
        <v>16</v>
      </c>
      <c r="B21" s="16" t="s">
        <v>32</v>
      </c>
      <c r="C21" s="15" t="s">
        <v>46</v>
      </c>
      <c r="D21" s="21" t="s">
        <v>47</v>
      </c>
      <c r="E21" s="15" t="s">
        <v>16</v>
      </c>
      <c r="F21" s="22" t="s">
        <v>49</v>
      </c>
      <c r="G21" s="19" t="str">
        <f aca="false">CONCATENATE(A21,"-",C21,"-",E21)</f>
        <v>02-09-02</v>
      </c>
      <c r="H21" s="20" t="str">
        <f aca="false">CONCATENATE(B21," / ",D21,,IF(F21="",,CONCATENATE(" / ",F21)))</f>
        <v>action sociale et santé / services communal d'hygiène et de santé (SCHS) / financement</v>
      </c>
      <c r="I21" s="7"/>
    </row>
    <row r="22" customFormat="false" ht="15" hidden="false" customHeight="false" outlineLevel="0" collapsed="false">
      <c r="A22" s="15" t="s">
        <v>16</v>
      </c>
      <c r="B22" s="16" t="s">
        <v>32</v>
      </c>
      <c r="C22" s="15" t="n">
        <v>10</v>
      </c>
      <c r="D22" s="21" t="s">
        <v>50</v>
      </c>
      <c r="E22" s="15" t="s">
        <v>12</v>
      </c>
      <c r="F22" s="22" t="s">
        <v>51</v>
      </c>
      <c r="G22" s="19" t="str">
        <f aca="false">CONCATENATE(A22,"-",C22,"-",E22)</f>
        <v>02-10-01</v>
      </c>
      <c r="H22" s="20" t="str">
        <f aca="false">CONCATENATE(B22," / ",D22,,IF(F22="",,CONCATENATE(" / ",F22)))</f>
        <v>action sociale et santé / alerte et veille sanitaire / signalement</v>
      </c>
      <c r="I22" s="23"/>
    </row>
    <row r="23" customFormat="false" ht="15" hidden="false" customHeight="false" outlineLevel="0" collapsed="false">
      <c r="A23" s="15" t="s">
        <v>20</v>
      </c>
      <c r="B23" s="16" t="s">
        <v>52</v>
      </c>
      <c r="C23" s="15" t="s">
        <v>12</v>
      </c>
      <c r="D23" s="21" t="s">
        <v>53</v>
      </c>
      <c r="E23" s="15" t="s">
        <v>42</v>
      </c>
      <c r="F23" s="22"/>
      <c r="G23" s="19" t="str">
        <f aca="false">CONCATENATE(A23,"-",C23,"-",E23)</f>
        <v>03-01-00</v>
      </c>
      <c r="H23" s="20" t="str">
        <f aca="false">CONCATENATE(B23," / ",D23,,IF(F23="",,CONCATENATE(" / ",F23)))</f>
        <v>emploi et insertion professionnelle / réseau pour l'emploi</v>
      </c>
      <c r="I23" s="7"/>
    </row>
    <row r="24" customFormat="false" ht="15" hidden="false" customHeight="false" outlineLevel="0" collapsed="false">
      <c r="A24" s="15" t="s">
        <v>25</v>
      </c>
      <c r="B24" s="16" t="s">
        <v>54</v>
      </c>
      <c r="C24" s="15" t="s">
        <v>12</v>
      </c>
      <c r="D24" s="21" t="s">
        <v>55</v>
      </c>
      <c r="E24" s="15" t="s">
        <v>12</v>
      </c>
      <c r="F24" s="22" t="s">
        <v>56</v>
      </c>
      <c r="G24" s="19" t="str">
        <f aca="false">CONCATENATE(A24,"-",C24,"-",E24)</f>
        <v>04-01-01</v>
      </c>
      <c r="H24" s="20" t="str">
        <f aca="false">CONCATENATE(B24," / ",D24,,IF(F24="",,CONCATENATE(" / ",F24)))</f>
        <v>enseignement / école maternelles et primaires / construction</v>
      </c>
      <c r="I24" s="7"/>
    </row>
    <row r="25" customFormat="false" ht="15" hidden="false" customHeight="false" outlineLevel="0" collapsed="false">
      <c r="A25" s="15" t="s">
        <v>25</v>
      </c>
      <c r="B25" s="16" t="s">
        <v>54</v>
      </c>
      <c r="C25" s="15" t="s">
        <v>12</v>
      </c>
      <c r="D25" s="21" t="s">
        <v>55</v>
      </c>
      <c r="E25" s="15" t="s">
        <v>16</v>
      </c>
      <c r="F25" s="22" t="s">
        <v>57</v>
      </c>
      <c r="G25" s="19" t="str">
        <f aca="false">CONCATENATE(A25,"-",C25,"-",E25)</f>
        <v>04-01-02</v>
      </c>
      <c r="H25" s="20" t="str">
        <f aca="false">CONCATENATE(B25," / ",D25,,IF(F25="",,CONCATENATE(" / ",F25)))</f>
        <v>enseignement / école maternelles et primaires / entretien</v>
      </c>
      <c r="I25" s="7"/>
    </row>
    <row r="26" customFormat="false" ht="15" hidden="false" customHeight="false" outlineLevel="0" collapsed="false">
      <c r="A26" s="15" t="s">
        <v>25</v>
      </c>
      <c r="B26" s="16" t="s">
        <v>54</v>
      </c>
      <c r="C26" s="15" t="s">
        <v>12</v>
      </c>
      <c r="D26" s="21" t="s">
        <v>55</v>
      </c>
      <c r="E26" s="15" t="s">
        <v>20</v>
      </c>
      <c r="F26" s="22" t="s">
        <v>58</v>
      </c>
      <c r="G26" s="19" t="str">
        <f aca="false">CONCATENATE(A26,"-",C26,"-",E26)</f>
        <v>04-01-03</v>
      </c>
      <c r="H26" s="20" t="str">
        <f aca="false">CONCATENATE(B26," / ",D26,,IF(F26="",,CONCATENATE(" / ",F26)))</f>
        <v>enseignement / école maternelles et primaires / gestion agent territorial spécialisé des écoles maternelles (ATSEM)</v>
      </c>
      <c r="I26" s="7"/>
    </row>
    <row r="27" customFormat="false" ht="15" hidden="false" customHeight="false" outlineLevel="0" collapsed="false">
      <c r="A27" s="15" t="s">
        <v>25</v>
      </c>
      <c r="B27" s="16" t="s">
        <v>54</v>
      </c>
      <c r="C27" s="15" t="s">
        <v>12</v>
      </c>
      <c r="D27" s="21" t="s">
        <v>55</v>
      </c>
      <c r="E27" s="15" t="s">
        <v>25</v>
      </c>
      <c r="F27" s="22" t="s">
        <v>59</v>
      </c>
      <c r="G27" s="19" t="str">
        <f aca="false">CONCATENATE(A27,"-",C27,"-",E27)</f>
        <v>04-01-04</v>
      </c>
      <c r="H27" s="20" t="str">
        <f aca="false">CONCATENATE(B27," / ",D27,,IF(F27="",,CONCATENATE(" / ",F27)))</f>
        <v>enseignement / école maternelles et primaires / restauration scolaire</v>
      </c>
      <c r="I27" s="7"/>
    </row>
    <row r="28" customFormat="false" ht="15" hidden="false" customHeight="false" outlineLevel="0" collapsed="false">
      <c r="A28" s="15" t="s">
        <v>25</v>
      </c>
      <c r="B28" s="16" t="s">
        <v>54</v>
      </c>
      <c r="C28" s="15" t="s">
        <v>16</v>
      </c>
      <c r="D28" s="21" t="s">
        <v>60</v>
      </c>
      <c r="E28" s="15" t="s">
        <v>12</v>
      </c>
      <c r="F28" s="22" t="s">
        <v>48</v>
      </c>
      <c r="G28" s="19" t="str">
        <f aca="false">CONCATENATE(A28,"-",C28,"-",E28)</f>
        <v>04-02-01</v>
      </c>
      <c r="H28" s="20" t="str">
        <f aca="false">CONCATENATE(B28," / ",D28,,IF(F28="",,CONCATENATE(" / ",F28)))</f>
        <v>enseignement / périscolaire - garderie / organisation</v>
      </c>
      <c r="I28" s="7"/>
    </row>
    <row r="29" customFormat="false" ht="15" hidden="false" customHeight="false" outlineLevel="0" collapsed="false">
      <c r="A29" s="15" t="s">
        <v>25</v>
      </c>
      <c r="B29" s="16" t="s">
        <v>54</v>
      </c>
      <c r="C29" s="15" t="s">
        <v>20</v>
      </c>
      <c r="D29" s="21" t="s">
        <v>61</v>
      </c>
      <c r="E29" s="15" t="s">
        <v>12</v>
      </c>
      <c r="F29" s="22" t="s">
        <v>48</v>
      </c>
      <c r="G29" s="19" t="str">
        <f aca="false">CONCATENATE(A29,"-",C29,"-",E29)</f>
        <v>04-03-01</v>
      </c>
      <c r="H29" s="20" t="str">
        <f aca="false">CONCATENATE(B29," / ",D29,,IF(F29="",,CONCATENATE(" / ",F29)))</f>
        <v>enseignement / service minimum / organisation</v>
      </c>
      <c r="I29" s="7"/>
    </row>
    <row r="30" customFormat="false" ht="15" hidden="false" customHeight="false" outlineLevel="0" collapsed="false">
      <c r="A30" s="15" t="s">
        <v>29</v>
      </c>
      <c r="B30" s="16" t="s">
        <v>62</v>
      </c>
      <c r="C30" s="15" t="s">
        <v>12</v>
      </c>
      <c r="D30" s="21" t="s">
        <v>63</v>
      </c>
      <c r="E30" s="15" t="s">
        <v>42</v>
      </c>
      <c r="F30" s="22"/>
      <c r="G30" s="19" t="str">
        <f aca="false">CONCATENATE(A30,"-",C30,"-",E30)</f>
        <v>05-01-00</v>
      </c>
      <c r="H30" s="20" t="str">
        <f aca="false">CONCATENATE(B30," / ",D30,,IF(F30="",,CONCATENATE(" / ",F30)))</f>
        <v>enfance et jeunesse / informations et accompagnement des familles avec enfants de moins de trois ans</v>
      </c>
      <c r="I30" s="7"/>
    </row>
    <row r="31" customFormat="false" ht="15" hidden="false" customHeight="false" outlineLevel="0" collapsed="false">
      <c r="A31" s="15" t="s">
        <v>29</v>
      </c>
      <c r="B31" s="16" t="s">
        <v>62</v>
      </c>
      <c r="C31" s="15" t="s">
        <v>16</v>
      </c>
      <c r="D31" s="21" t="s">
        <v>64</v>
      </c>
      <c r="E31" s="15" t="s">
        <v>12</v>
      </c>
      <c r="F31" s="22" t="s">
        <v>65</v>
      </c>
      <c r="G31" s="19" t="str">
        <f aca="false">CONCATENATE(A31,"-",C31,"-",E31)</f>
        <v>05-02-01</v>
      </c>
      <c r="H31" s="20" t="str">
        <f aca="false">CONCATENATE(B31," / ",D31,,IF(F31="",,CONCATENATE(" / ",F31)))</f>
        <v>enfance et jeunesse / mode d'accueil / planification</v>
      </c>
      <c r="I31" s="7"/>
    </row>
    <row r="32" customFormat="false" ht="15" hidden="false" customHeight="false" outlineLevel="0" collapsed="false">
      <c r="A32" s="15" t="s">
        <v>29</v>
      </c>
      <c r="B32" s="16" t="s">
        <v>62</v>
      </c>
      <c r="C32" s="15" t="s">
        <v>16</v>
      </c>
      <c r="D32" s="21" t="s">
        <v>64</v>
      </c>
      <c r="E32" s="15" t="s">
        <v>16</v>
      </c>
      <c r="F32" s="22" t="s">
        <v>66</v>
      </c>
      <c r="G32" s="19" t="str">
        <f aca="false">CONCATENATE(A32,"-",C32,"-",E32)</f>
        <v>05-02-02</v>
      </c>
      <c r="H32" s="20" t="str">
        <f aca="false">CONCATENATE(B32," / ",D32,,IF(F32="",,CONCATENATE(" / ",F32)))</f>
        <v>enfance et jeunesse / mode d'accueil / soutien</v>
      </c>
      <c r="I32" s="7"/>
    </row>
    <row r="33" customFormat="false" ht="15" hidden="false" customHeight="false" outlineLevel="0" collapsed="false">
      <c r="A33" s="15" t="s">
        <v>29</v>
      </c>
      <c r="B33" s="16" t="s">
        <v>62</v>
      </c>
      <c r="C33" s="15" t="s">
        <v>20</v>
      </c>
      <c r="D33" s="21" t="s">
        <v>67</v>
      </c>
      <c r="E33" s="15" t="s">
        <v>42</v>
      </c>
      <c r="F33" s="22"/>
      <c r="G33" s="19" t="str">
        <f aca="false">CONCATENATE(A33,"-",C33,"-",E33)</f>
        <v>05-03-00</v>
      </c>
      <c r="H33" s="20" t="str">
        <f aca="false">CONCATENATE(B33," / ",D33,,IF(F33="",,CONCATENATE(" / ",F33)))</f>
        <v>enfance et jeunesse / relais assistants maternels</v>
      </c>
      <c r="I33" s="7"/>
    </row>
    <row r="34" customFormat="false" ht="15" hidden="false" customHeight="false" outlineLevel="0" collapsed="false">
      <c r="A34" s="15" t="s">
        <v>68</v>
      </c>
      <c r="B34" s="16" t="s">
        <v>69</v>
      </c>
      <c r="C34" s="15" t="s">
        <v>12</v>
      </c>
      <c r="D34" s="21" t="s">
        <v>70</v>
      </c>
      <c r="E34" s="15" t="s">
        <v>12</v>
      </c>
      <c r="F34" s="22" t="s">
        <v>56</v>
      </c>
      <c r="G34" s="19" t="str">
        <f aca="false">CONCATENATE(A34,"-",C34,"-",E34)</f>
        <v>06-01-01</v>
      </c>
      <c r="H34" s="20" t="str">
        <f aca="false">CONCATENATE(B34," / ",D34,,IF(F34="",,CONCATENATE(" / ",F34)))</f>
        <v>sports / équipements sportifs / construction</v>
      </c>
      <c r="I34" s="7"/>
    </row>
    <row r="35" customFormat="false" ht="15" hidden="false" customHeight="false" outlineLevel="0" collapsed="false">
      <c r="A35" s="15" t="s">
        <v>68</v>
      </c>
      <c r="B35" s="16" t="s">
        <v>69</v>
      </c>
      <c r="C35" s="15" t="s">
        <v>12</v>
      </c>
      <c r="D35" s="21" t="s">
        <v>70</v>
      </c>
      <c r="E35" s="15" t="s">
        <v>16</v>
      </c>
      <c r="F35" s="22" t="s">
        <v>71</v>
      </c>
      <c r="G35" s="19" t="str">
        <f aca="false">CONCATENATE(A35,"-",C35,"-",E35)</f>
        <v>06-01-02</v>
      </c>
      <c r="H35" s="20" t="str">
        <f aca="false">CONCATENATE(B35," / ",D35,,IF(F35="",,CONCATENATE(" / ",F35)))</f>
        <v>sports / équipements sportifs / fonctionnement et gestion</v>
      </c>
      <c r="I35" s="7"/>
    </row>
    <row r="36" customFormat="false" ht="15" hidden="false" customHeight="false" outlineLevel="0" collapsed="false">
      <c r="A36" s="15" t="s">
        <v>68</v>
      </c>
      <c r="B36" s="16" t="s">
        <v>69</v>
      </c>
      <c r="C36" s="15" t="s">
        <v>12</v>
      </c>
      <c r="D36" s="21" t="s">
        <v>70</v>
      </c>
      <c r="E36" s="15" t="s">
        <v>20</v>
      </c>
      <c r="F36" s="22" t="s">
        <v>57</v>
      </c>
      <c r="G36" s="19" t="str">
        <f aca="false">CONCATENATE(A36,"-",C36,"-",E36)</f>
        <v>06-01-03</v>
      </c>
      <c r="H36" s="20" t="str">
        <f aca="false">CONCATENATE(B36," / ",D36,,IF(F36="",,CONCATENATE(" / ",F36)))</f>
        <v>sports / équipements sportifs / entretien</v>
      </c>
      <c r="I36" s="7"/>
    </row>
    <row r="37" customFormat="false" ht="15" hidden="false" customHeight="false" outlineLevel="0" collapsed="false">
      <c r="A37" s="15" t="s">
        <v>68</v>
      </c>
      <c r="B37" s="16" t="s">
        <v>69</v>
      </c>
      <c r="C37" s="15" t="s">
        <v>12</v>
      </c>
      <c r="D37" s="21" t="s">
        <v>70</v>
      </c>
      <c r="E37" s="15" t="s">
        <v>25</v>
      </c>
      <c r="F37" s="22" t="s">
        <v>37</v>
      </c>
      <c r="G37" s="19" t="str">
        <f aca="false">CONCATENATE(A37,"-",C37,"-",E37)</f>
        <v>06-01-04</v>
      </c>
      <c r="H37" s="20" t="str">
        <f aca="false">CONCATENATE(B37," / ",D37,,IF(F37="",,CONCATENATE(" / ",F37)))</f>
        <v>sports / équipements sportifs / subvention</v>
      </c>
      <c r="I37" s="7"/>
    </row>
    <row r="38" customFormat="false" ht="15" hidden="false" customHeight="false" outlineLevel="0" collapsed="false">
      <c r="A38" s="15" t="s">
        <v>68</v>
      </c>
      <c r="B38" s="16" t="s">
        <v>69</v>
      </c>
      <c r="C38" s="15" t="s">
        <v>12</v>
      </c>
      <c r="D38" s="21" t="s">
        <v>70</v>
      </c>
      <c r="E38" s="15" t="s">
        <v>29</v>
      </c>
      <c r="F38" s="22" t="s">
        <v>13</v>
      </c>
      <c r="G38" s="19" t="str">
        <f aca="false">CONCATENATE(A38,"-",C38,"-",E38)</f>
        <v>06-01-05</v>
      </c>
      <c r="H38" s="20" t="str">
        <f aca="false">CONCATENATE(B38," / ",D38,,IF(F38="",,CONCATENATE(" / ",F38)))</f>
        <v>sports / équipements sportifs / sécurité</v>
      </c>
      <c r="I38" s="7"/>
    </row>
    <row r="39" customFormat="false" ht="15" hidden="false" customHeight="false" outlineLevel="0" collapsed="false">
      <c r="A39" s="15" t="s">
        <v>68</v>
      </c>
      <c r="B39" s="16" t="s">
        <v>69</v>
      </c>
      <c r="C39" s="15" t="s">
        <v>12</v>
      </c>
      <c r="D39" s="21" t="s">
        <v>70</v>
      </c>
      <c r="E39" s="15" t="s">
        <v>68</v>
      </c>
      <c r="F39" s="22" t="s">
        <v>72</v>
      </c>
      <c r="G39" s="19" t="str">
        <f aca="false">CONCATENATE(A39,"-",C39,"-",E39)</f>
        <v>06-01-06</v>
      </c>
      <c r="H39" s="20" t="str">
        <f aca="false">CONCATENATE(B39," / ",D39,,IF(F39="",,CONCATENATE(" / ",F39)))</f>
        <v>sports / équipements sportifs / mise a disposition</v>
      </c>
      <c r="I39" s="7"/>
    </row>
    <row r="40" customFormat="false" ht="15.65" hidden="false" customHeight="true" outlineLevel="0" collapsed="false">
      <c r="A40" s="15" t="s">
        <v>68</v>
      </c>
      <c r="B40" s="16" t="s">
        <v>69</v>
      </c>
      <c r="C40" s="15" t="s">
        <v>12</v>
      </c>
      <c r="D40" s="21" t="s">
        <v>70</v>
      </c>
      <c r="E40" s="15" t="s">
        <v>73</v>
      </c>
      <c r="F40" s="22" t="s">
        <v>74</v>
      </c>
      <c r="G40" s="19" t="str">
        <f aca="false">CONCATENATE(A40,"-",C40,"-",E40)</f>
        <v>06-01-07</v>
      </c>
      <c r="H40" s="20" t="str">
        <f aca="false">CONCATENATE(B40," / ",D40,,IF(F40="",,CONCATENATE(" / ",F40)))</f>
        <v>sports / équipements sportifs / office municipal du sport (OMS)</v>
      </c>
      <c r="I40" s="7"/>
    </row>
    <row r="41" customFormat="false" ht="15" hidden="false" customHeight="false" outlineLevel="0" collapsed="false">
      <c r="A41" s="15" t="s">
        <v>73</v>
      </c>
      <c r="B41" s="16" t="s">
        <v>75</v>
      </c>
      <c r="C41" s="15" t="s">
        <v>12</v>
      </c>
      <c r="D41" s="21" t="s">
        <v>76</v>
      </c>
      <c r="E41" s="15" t="s">
        <v>42</v>
      </c>
      <c r="F41" s="22"/>
      <c r="G41" s="19" t="str">
        <f aca="false">CONCATENATE(A41,"-",C41,"-",E41)</f>
        <v>07-01-00</v>
      </c>
      <c r="H41" s="20" t="str">
        <f aca="false">CONCATENATE(B41," / ",D41,,IF(F41="",,CONCATENATE(" / ",F41)))</f>
        <v>action culturelle / enseignements artistiques</v>
      </c>
      <c r="I41" s="7"/>
    </row>
    <row r="42" customFormat="false" ht="15" hidden="false" customHeight="false" outlineLevel="0" collapsed="false">
      <c r="A42" s="15" t="s">
        <v>73</v>
      </c>
      <c r="B42" s="16" t="s">
        <v>75</v>
      </c>
      <c r="C42" s="15" t="s">
        <v>16</v>
      </c>
      <c r="D42" s="21" t="s">
        <v>77</v>
      </c>
      <c r="E42" s="15" t="s">
        <v>42</v>
      </c>
      <c r="F42" s="22"/>
      <c r="G42" s="19" t="str">
        <f aca="false">CONCATENATE(A42,"-",C42,"-",E42)</f>
        <v>07-02-00</v>
      </c>
      <c r="H42" s="20" t="str">
        <f aca="false">CONCATENATE(B42," / ",D42,,IF(F42="",,CONCATENATE(" / ",F42)))</f>
        <v>action culturelle / bibliothèque</v>
      </c>
      <c r="I42" s="7"/>
    </row>
    <row r="43" customFormat="false" ht="15" hidden="false" customHeight="false" outlineLevel="0" collapsed="false">
      <c r="A43" s="15" t="s">
        <v>73</v>
      </c>
      <c r="B43" s="16" t="s">
        <v>75</v>
      </c>
      <c r="C43" s="15" t="s">
        <v>20</v>
      </c>
      <c r="D43" s="21" t="s">
        <v>78</v>
      </c>
      <c r="E43" s="15" t="s">
        <v>12</v>
      </c>
      <c r="F43" s="22" t="s">
        <v>79</v>
      </c>
      <c r="G43" s="19" t="str">
        <f aca="false">CONCATENATE(A43,"-",C43,"-",E43)</f>
        <v>07-03-01</v>
      </c>
      <c r="H43" s="20" t="str">
        <f aca="false">CONCATENATE(B43," / ",D43,,IF(F43="",,CONCATENATE(" / ",F43)))</f>
        <v>action culturelle / musée / organisation et financement</v>
      </c>
      <c r="I43" s="23"/>
    </row>
    <row r="44" customFormat="false" ht="15" hidden="false" customHeight="false" outlineLevel="0" collapsed="false">
      <c r="A44" s="15" t="s">
        <v>73</v>
      </c>
      <c r="B44" s="16" t="s">
        <v>75</v>
      </c>
      <c r="C44" s="15" t="s">
        <v>25</v>
      </c>
      <c r="D44" s="21" t="s">
        <v>80</v>
      </c>
      <c r="E44" s="15" t="s">
        <v>12</v>
      </c>
      <c r="F44" s="22" t="s">
        <v>81</v>
      </c>
      <c r="G44" s="19" t="str">
        <f aca="false">CONCATENATE(A44,"-",C44,"-",E44)</f>
        <v>07-04-01</v>
      </c>
      <c r="H44" s="20" t="str">
        <f aca="false">CONCATENATE(B44," / ",D44,,IF(F44="",,CONCATENATE(" / ",F44)))</f>
        <v>action culturelle / archives / conservation</v>
      </c>
      <c r="I44" s="7"/>
    </row>
    <row r="45" customFormat="false" ht="15" hidden="false" customHeight="false" outlineLevel="0" collapsed="false">
      <c r="A45" s="15" t="s">
        <v>73</v>
      </c>
      <c r="B45" s="16" t="s">
        <v>75</v>
      </c>
      <c r="C45" s="15" t="s">
        <v>29</v>
      </c>
      <c r="D45" s="21" t="s">
        <v>82</v>
      </c>
      <c r="E45" s="15" t="s">
        <v>12</v>
      </c>
      <c r="F45" s="22" t="s">
        <v>83</v>
      </c>
      <c r="G45" s="19" t="str">
        <f aca="false">CONCATENATE(A45,"-",C45,"-",E45)</f>
        <v>07-05-01</v>
      </c>
      <c r="H45" s="20" t="str">
        <f aca="false">CONCATENATE(B45," / ",D45,,IF(F45="",,CONCATENATE(" / ",F45)))</f>
        <v>action culturelle / archéologie préventive / diagnostics et fouilles</v>
      </c>
      <c r="I45" s="7"/>
    </row>
    <row r="46" customFormat="false" ht="15" hidden="false" customHeight="false" outlineLevel="0" collapsed="false">
      <c r="A46" s="15" t="s">
        <v>43</v>
      </c>
      <c r="B46" s="16" t="s">
        <v>84</v>
      </c>
      <c r="C46" s="15" t="s">
        <v>12</v>
      </c>
      <c r="D46" s="21" t="s">
        <v>85</v>
      </c>
      <c r="E46" s="15" t="s">
        <v>42</v>
      </c>
      <c r="F46" s="22"/>
      <c r="G46" s="19" t="str">
        <f aca="false">CONCATENATE(A46,"-",C46,"-",E46)</f>
        <v>08-01-00</v>
      </c>
      <c r="H46" s="20" t="str">
        <f aca="false">CONCATENATE(B46," / ",D46,,IF(F46="",,CONCATENATE(" / ",F46)))</f>
        <v>tourisme / office de tourisme</v>
      </c>
      <c r="I46" s="7"/>
    </row>
    <row r="47" customFormat="false" ht="15" hidden="false" customHeight="false" outlineLevel="0" collapsed="false">
      <c r="A47" s="15" t="s">
        <v>46</v>
      </c>
      <c r="B47" s="16" t="s">
        <v>86</v>
      </c>
      <c r="C47" s="15" t="s">
        <v>12</v>
      </c>
      <c r="D47" s="21" t="s">
        <v>87</v>
      </c>
      <c r="E47" s="15" t="s">
        <v>12</v>
      </c>
      <c r="F47" s="22" t="s">
        <v>88</v>
      </c>
      <c r="G47" s="19" t="str">
        <f aca="false">CONCATENATE(A47,"-",C47,"-",E47)</f>
        <v>09-01-01</v>
      </c>
      <c r="H47" s="20" t="str">
        <f aca="false">CONCATENATE(B47," / ",D47,,IF(F47="",,CONCATENATE(" / ",F47)))</f>
        <v>économie / aide a l'immobilier d'entreprise / création ou extension d’activités</v>
      </c>
      <c r="I47" s="7"/>
    </row>
    <row r="48" customFormat="false" ht="15" hidden="false" customHeight="false" outlineLevel="0" collapsed="false">
      <c r="A48" s="15" t="s">
        <v>46</v>
      </c>
      <c r="B48" s="16" t="s">
        <v>86</v>
      </c>
      <c r="C48" s="15" t="s">
        <v>16</v>
      </c>
      <c r="D48" s="21" t="s">
        <v>89</v>
      </c>
      <c r="E48" s="15" t="s">
        <v>12</v>
      </c>
      <c r="F48" s="22" t="s">
        <v>49</v>
      </c>
      <c r="G48" s="19" t="str">
        <f aca="false">CONCATENATE(A48,"-",C48,"-",E48)</f>
        <v>09-02-01</v>
      </c>
      <c r="H48" s="20" t="str">
        <f aca="false">CONCATENATE(B48," / ",D48,,IF(F48="",,CONCATENATE(" / ",F48)))</f>
        <v>économie / aide aux entreprises en difficulté / financement</v>
      </c>
      <c r="I48" s="7"/>
    </row>
    <row r="49" customFormat="false" ht="15" hidden="false" customHeight="false" outlineLevel="0" collapsed="false">
      <c r="A49" s="15" t="s">
        <v>46</v>
      </c>
      <c r="B49" s="16" t="s">
        <v>86</v>
      </c>
      <c r="C49" s="15" t="s">
        <v>20</v>
      </c>
      <c r="D49" s="21" t="s">
        <v>90</v>
      </c>
      <c r="E49" s="15" t="s">
        <v>12</v>
      </c>
      <c r="F49" s="22" t="s">
        <v>91</v>
      </c>
      <c r="G49" s="19" t="str">
        <f aca="false">CONCATENATE(A49,"-",C49,"-",E49)</f>
        <v>09-03-01</v>
      </c>
      <c r="H49" s="20" t="str">
        <f aca="false">CONCATENATE(B49," / ",D49,,IF(F49="",,CONCATENATE(" / ",F49)))</f>
        <v>économie / aide aux professionnels de santé / zone déficitaire</v>
      </c>
      <c r="I49" s="7"/>
    </row>
    <row r="50" customFormat="false" ht="15" hidden="false" customHeight="false" outlineLevel="0" collapsed="false">
      <c r="A50" s="15" t="s">
        <v>46</v>
      </c>
      <c r="B50" s="16" t="s">
        <v>86</v>
      </c>
      <c r="C50" s="15" t="s">
        <v>25</v>
      </c>
      <c r="D50" s="21" t="s">
        <v>92</v>
      </c>
      <c r="E50" s="15" t="s">
        <v>12</v>
      </c>
      <c r="F50" s="22" t="s">
        <v>93</v>
      </c>
      <c r="G50" s="19" t="str">
        <f aca="false">CONCATENATE(A50,"-",C50,"-",E50)</f>
        <v>09-04-01</v>
      </c>
      <c r="H50" s="20" t="str">
        <f aca="false">CONCATENATE(B50," / ",D50,,IF(F50="",,CONCATENATE(" / ",F50)))</f>
        <v>économie / aide aux vétérinaires / continuité des soins aux animaux</v>
      </c>
      <c r="I50" s="7"/>
    </row>
    <row r="51" customFormat="false" ht="15" hidden="false" customHeight="false" outlineLevel="0" collapsed="false">
      <c r="A51" s="15" t="s">
        <v>46</v>
      </c>
      <c r="B51" s="16" t="s">
        <v>86</v>
      </c>
      <c r="C51" s="15" t="s">
        <v>29</v>
      </c>
      <c r="D51" s="21" t="s">
        <v>94</v>
      </c>
      <c r="E51" s="15" t="s">
        <v>42</v>
      </c>
      <c r="F51" s="22"/>
      <c r="G51" s="19" t="str">
        <f aca="false">CONCATENATE(A51,"-",C51,"-",E51)</f>
        <v>09-05-00</v>
      </c>
      <c r="H51" s="20" t="str">
        <f aca="false">CONCATENATE(B51," / ",D51,,IF(F51="",,CONCATENATE(" / ",F51)))</f>
        <v>économie / aide au maintien des services en milieu rural</v>
      </c>
      <c r="I51" s="7"/>
    </row>
    <row r="52" customFormat="false" ht="15" hidden="false" customHeight="false" outlineLevel="0" collapsed="false">
      <c r="A52" s="15" t="s">
        <v>46</v>
      </c>
      <c r="B52" s="16" t="s">
        <v>86</v>
      </c>
      <c r="C52" s="15" t="s">
        <v>68</v>
      </c>
      <c r="D52" s="21" t="s">
        <v>95</v>
      </c>
      <c r="E52" s="15" t="s">
        <v>42</v>
      </c>
      <c r="F52" s="22"/>
      <c r="G52" s="19" t="str">
        <f aca="false">CONCATENATE(A52,"-",C52,"-",E52)</f>
        <v>09-06-00</v>
      </c>
      <c r="H52" s="20" t="str">
        <f aca="false">CONCATENATE(B52," / ",D52,,IF(F52="",,CONCATENATE(" / ",F52)))</f>
        <v>économie / ingénierie financière</v>
      </c>
      <c r="I52" s="7"/>
    </row>
    <row r="53" customFormat="false" ht="15" hidden="false" customHeight="false" outlineLevel="0" collapsed="false">
      <c r="A53" s="15" t="n">
        <v>10</v>
      </c>
      <c r="B53" s="16" t="s">
        <v>96</v>
      </c>
      <c r="C53" s="15" t="s">
        <v>12</v>
      </c>
      <c r="D53" s="21" t="s">
        <v>97</v>
      </c>
      <c r="E53" s="15" t="s">
        <v>42</v>
      </c>
      <c r="F53" s="22"/>
      <c r="G53" s="19" t="str">
        <f aca="false">CONCATENATE(A53,"-",C53,"-",E53)</f>
        <v>10-01-00</v>
      </c>
      <c r="H53" s="20" t="str">
        <f aca="false">CONCATENATE(B53," / ",D53,,IF(F53="",,CONCATENATE(" / ",F53)))</f>
        <v>politique de la ville / quartier prioritaire</v>
      </c>
      <c r="I53" s="7"/>
    </row>
    <row r="54" customFormat="false" ht="15" hidden="false" customHeight="false" outlineLevel="0" collapsed="false">
      <c r="A54" s="15" t="n">
        <v>10</v>
      </c>
      <c r="B54" s="16" t="s">
        <v>96</v>
      </c>
      <c r="C54" s="15" t="s">
        <v>16</v>
      </c>
      <c r="D54" s="21" t="s">
        <v>98</v>
      </c>
      <c r="E54" s="15" t="s">
        <v>42</v>
      </c>
      <c r="F54" s="22"/>
      <c r="G54" s="19" t="str">
        <f aca="false">CONCATENATE(A54,"-",C54,"-",E54)</f>
        <v>10-02-00</v>
      </c>
      <c r="H54" s="20" t="str">
        <f aca="false">CONCATENATE(B54," / ",D54,,IF(F54="",,CONCATENATE(" / ",F54)))</f>
        <v>politique de la ville / contrat de ville</v>
      </c>
      <c r="I54" s="7"/>
    </row>
    <row r="55" customFormat="false" ht="15" hidden="false" customHeight="false" outlineLevel="0" collapsed="false">
      <c r="A55" s="15" t="n">
        <v>11</v>
      </c>
      <c r="B55" s="16" t="s">
        <v>99</v>
      </c>
      <c r="C55" s="15" t="s">
        <v>12</v>
      </c>
      <c r="D55" s="21" t="s">
        <v>100</v>
      </c>
      <c r="E55" s="15" t="s">
        <v>42</v>
      </c>
      <c r="F55" s="22"/>
      <c r="G55" s="19" t="str">
        <f aca="false">CONCATENATE(A55,"-",C55,"-",E55)</f>
        <v>11-01-00</v>
      </c>
      <c r="H55" s="20" t="str">
        <f aca="false">CONCATENATE(B55," / ",D55,,IF(F55="",,CONCATENATE(" / ",F55)))</f>
        <v>urbanisme et aménagement / SCOT</v>
      </c>
      <c r="I55" s="7"/>
    </row>
    <row r="56" customFormat="false" ht="15" hidden="false" customHeight="false" outlineLevel="0" collapsed="false">
      <c r="A56" s="15" t="n">
        <v>11</v>
      </c>
      <c r="B56" s="16" t="s">
        <v>99</v>
      </c>
      <c r="C56" s="15" t="s">
        <v>16</v>
      </c>
      <c r="D56" s="21" t="s">
        <v>101</v>
      </c>
      <c r="E56" s="15" t="s">
        <v>42</v>
      </c>
      <c r="F56" s="22"/>
      <c r="G56" s="19" t="str">
        <f aca="false">CONCATENATE(A56,"-",C56,"-",E56)</f>
        <v>11-02-00</v>
      </c>
      <c r="H56" s="20" t="str">
        <f aca="false">CONCATENATE(B56," / ",D56,,IF(F56="",,CONCATENATE(" / ",F56)))</f>
        <v>urbanisme et aménagement / PLU - PLUI</v>
      </c>
      <c r="I56" s="7"/>
    </row>
    <row r="57" customFormat="false" ht="15" hidden="false" customHeight="false" outlineLevel="0" collapsed="false">
      <c r="A57" s="15" t="n">
        <v>11</v>
      </c>
      <c r="B57" s="16" t="s">
        <v>99</v>
      </c>
      <c r="C57" s="15" t="s">
        <v>20</v>
      </c>
      <c r="D57" s="21" t="s">
        <v>102</v>
      </c>
      <c r="E57" s="15" t="s">
        <v>42</v>
      </c>
      <c r="F57" s="22"/>
      <c r="G57" s="19" t="str">
        <f aca="false">CONCATENATE(A57,"-",C57,"-",E57)</f>
        <v>11-03-00</v>
      </c>
      <c r="H57" s="20" t="str">
        <f aca="false">CONCATENATE(B57," / ",D57,,IF(F57="",,CONCATENATE(" / ",F57)))</f>
        <v>urbanisme et aménagement / PSMV – SPR</v>
      </c>
      <c r="I57" s="7"/>
    </row>
    <row r="58" customFormat="false" ht="15" hidden="false" customHeight="false" outlineLevel="0" collapsed="false">
      <c r="A58" s="15" t="n">
        <v>11</v>
      </c>
      <c r="B58" s="16" t="s">
        <v>99</v>
      </c>
      <c r="C58" s="15" t="s">
        <v>25</v>
      </c>
      <c r="D58" s="21" t="s">
        <v>103</v>
      </c>
      <c r="E58" s="15" t="s">
        <v>12</v>
      </c>
      <c r="F58" s="22" t="s">
        <v>104</v>
      </c>
      <c r="G58" s="19" t="str">
        <f aca="false">CONCATENATE(A58,"-",C58,"-",E58)</f>
        <v>11-04-01</v>
      </c>
      <c r="H58" s="20" t="str">
        <f aca="false">CONCATENATE(B58," / ",D58,,IF(F58="",,CONCATENATE(" / ",F58)))</f>
        <v>urbanisme et aménagement / autorisation d'urbanisme / instruction</v>
      </c>
      <c r="I58" s="7"/>
    </row>
    <row r="59" customFormat="false" ht="15" hidden="false" customHeight="false" outlineLevel="0" collapsed="false">
      <c r="A59" s="15" t="n">
        <v>11</v>
      </c>
      <c r="B59" s="16" t="s">
        <v>99</v>
      </c>
      <c r="C59" s="15" t="s">
        <v>25</v>
      </c>
      <c r="D59" s="21" t="s">
        <v>103</v>
      </c>
      <c r="E59" s="15" t="s">
        <v>16</v>
      </c>
      <c r="F59" s="22" t="s">
        <v>105</v>
      </c>
      <c r="G59" s="19" t="str">
        <f aca="false">CONCATENATE(A59,"-",C59,"-",E59)</f>
        <v>11-04-02</v>
      </c>
      <c r="H59" s="20" t="str">
        <f aca="false">CONCATENATE(B59," / ",D59,,IF(F59="",,CONCATENATE(" / ",F59)))</f>
        <v>urbanisme et aménagement / autorisation d'urbanisme / délivrance</v>
      </c>
      <c r="I59" s="7"/>
    </row>
    <row r="60" customFormat="false" ht="15" hidden="false" customHeight="false" outlineLevel="0" collapsed="false">
      <c r="A60" s="15" t="n">
        <v>11</v>
      </c>
      <c r="B60" s="16" t="s">
        <v>99</v>
      </c>
      <c r="C60" s="15" t="s">
        <v>29</v>
      </c>
      <c r="D60" s="21" t="s">
        <v>106</v>
      </c>
      <c r="E60" s="15" t="s">
        <v>12</v>
      </c>
      <c r="F60" s="22" t="s">
        <v>107</v>
      </c>
      <c r="G60" s="19" t="str">
        <f aca="false">CONCATENATE(A60,"-",C60,"-",E60)</f>
        <v>11-05-01</v>
      </c>
      <c r="H60" s="20" t="str">
        <f aca="false">CONCATENATE(B60," / ",D60,,IF(F60="",,CONCATENATE(" / ",F60)))</f>
        <v>urbanisme et aménagement / opérations d'aménagement / zone d'aménagement concerté (ZAC)</v>
      </c>
      <c r="I60" s="7"/>
    </row>
    <row r="61" customFormat="false" ht="15" hidden="false" customHeight="false" outlineLevel="0" collapsed="false">
      <c r="A61" s="15" t="n">
        <v>11</v>
      </c>
      <c r="B61" s="16" t="s">
        <v>99</v>
      </c>
      <c r="C61" s="15" t="s">
        <v>29</v>
      </c>
      <c r="D61" s="21" t="s">
        <v>106</v>
      </c>
      <c r="E61" s="15" t="s">
        <v>16</v>
      </c>
      <c r="F61" s="22" t="s">
        <v>108</v>
      </c>
      <c r="G61" s="19" t="str">
        <f aca="false">CONCATENATE(A61,"-",C61,"-",E61)</f>
        <v>11-05-02</v>
      </c>
      <c r="H61" s="20" t="str">
        <f aca="false">CONCATENATE(B61," / ",D61,,IF(F61="",,CONCATENATE(" / ",F61)))</f>
        <v>urbanisme et aménagement / opérations d'aménagement / réserve foncière</v>
      </c>
      <c r="I61" s="7"/>
    </row>
    <row r="62" customFormat="false" ht="15" hidden="false" customHeight="false" outlineLevel="0" collapsed="false">
      <c r="A62" s="15" t="n">
        <v>11</v>
      </c>
      <c r="B62" s="16" t="s">
        <v>99</v>
      </c>
      <c r="C62" s="15" t="s">
        <v>29</v>
      </c>
      <c r="D62" s="21" t="s">
        <v>106</v>
      </c>
      <c r="E62" s="15" t="s">
        <v>20</v>
      </c>
      <c r="F62" s="22" t="s">
        <v>109</v>
      </c>
      <c r="G62" s="19" t="str">
        <f aca="false">CONCATENATE(A62,"-",C62,"-",E62)</f>
        <v>11-05-03</v>
      </c>
      <c r="H62" s="20" t="str">
        <f aca="false">CONCATENATE(B62," / ",D62,,IF(F62="",,CONCATENATE(" / ",F62)))</f>
        <v>urbanisme et aménagement / opérations d'aménagement / zone d'aménagement différé (ZAD)</v>
      </c>
      <c r="I62" s="7"/>
    </row>
    <row r="63" customFormat="false" ht="15" hidden="false" customHeight="false" outlineLevel="0" collapsed="false">
      <c r="A63" s="15" t="n">
        <v>11</v>
      </c>
      <c r="B63" s="16" t="s">
        <v>99</v>
      </c>
      <c r="C63" s="15" t="s">
        <v>29</v>
      </c>
      <c r="D63" s="21" t="s">
        <v>106</v>
      </c>
      <c r="E63" s="15" t="s">
        <v>25</v>
      </c>
      <c r="F63" s="22" t="s">
        <v>110</v>
      </c>
      <c r="G63" s="19" t="str">
        <f aca="false">CONCATENATE(A63,"-",C63,"-",E63)</f>
        <v>11-05-04</v>
      </c>
      <c r="H63" s="20" t="str">
        <f aca="false">CONCATENATE(B63," / ",D63,,IF(F63="",,CONCATENATE(" / ",F63)))</f>
        <v>urbanisme et aménagement / opérations d'aménagement / parcelle en état d'abandon manifeste</v>
      </c>
      <c r="I63" s="7"/>
    </row>
    <row r="64" customFormat="false" ht="15" hidden="false" customHeight="false" outlineLevel="0" collapsed="false">
      <c r="A64" s="15" t="n">
        <v>11</v>
      </c>
      <c r="B64" s="16" t="s">
        <v>99</v>
      </c>
      <c r="C64" s="15" t="s">
        <v>68</v>
      </c>
      <c r="D64" s="21" t="s">
        <v>111</v>
      </c>
      <c r="E64" s="15" t="s">
        <v>42</v>
      </c>
      <c r="F64" s="22"/>
      <c r="G64" s="19" t="str">
        <f aca="false">CONCATENATE(A64,"-",C64,"-",E64)</f>
        <v>11-06-00</v>
      </c>
      <c r="H64" s="20" t="str">
        <f aca="false">CONCATENATE(B64," / ",D64,,IF(F64="",,CONCATENATE(" / ",F64)))</f>
        <v>urbanisme et aménagement / opérations de restauration immobilière</v>
      </c>
      <c r="I64" s="7"/>
    </row>
    <row r="65" customFormat="false" ht="15" hidden="false" customHeight="false" outlineLevel="0" collapsed="false">
      <c r="A65" s="15" t="n">
        <v>11</v>
      </c>
      <c r="B65" s="16" t="s">
        <v>99</v>
      </c>
      <c r="C65" s="15" t="s">
        <v>73</v>
      </c>
      <c r="D65" s="21" t="s">
        <v>112</v>
      </c>
      <c r="E65" s="15" t="s">
        <v>42</v>
      </c>
      <c r="F65" s="22"/>
      <c r="G65" s="19" t="str">
        <f aca="false">CONCATENATE(A65,"-",C65,"-",E65)</f>
        <v>11-07-00</v>
      </c>
      <c r="H65" s="20" t="str">
        <f aca="false">CONCATENATE(B65," / ",D65,,IF(F65="",,CONCATENATE(" / ",F65)))</f>
        <v>urbanisme et aménagement / recul du trait de cote</v>
      </c>
      <c r="I65" s="7"/>
    </row>
    <row r="66" customFormat="false" ht="15" hidden="false" customHeight="false" outlineLevel="0" collapsed="false">
      <c r="A66" s="15" t="n">
        <v>12</v>
      </c>
      <c r="B66" s="16" t="s">
        <v>113</v>
      </c>
      <c r="C66" s="15" t="s">
        <v>12</v>
      </c>
      <c r="D66" s="21" t="s">
        <v>114</v>
      </c>
      <c r="E66" s="15" t="s">
        <v>42</v>
      </c>
      <c r="F66" s="22"/>
      <c r="G66" s="19" t="str">
        <f aca="false">CONCATENATE(A66,"-",C66,"-",E66)</f>
        <v>12-01-00</v>
      </c>
      <c r="H66" s="20" t="str">
        <f aca="false">CONCATENATE(B66," / ",D66,,IF(F66="",,CONCATENATE(" / ",F66)))</f>
        <v>aménagement du territoire et développement rural / zonage france ruralités revitalisation</v>
      </c>
      <c r="I66" s="7"/>
    </row>
    <row r="67" customFormat="false" ht="15" hidden="false" customHeight="false" outlineLevel="0" collapsed="false">
      <c r="A67" s="15" t="n">
        <v>13</v>
      </c>
      <c r="B67" s="16" t="s">
        <v>115</v>
      </c>
      <c r="C67" s="15" t="s">
        <v>12</v>
      </c>
      <c r="D67" s="21" t="s">
        <v>116</v>
      </c>
      <c r="E67" s="15" t="s">
        <v>42</v>
      </c>
      <c r="F67" s="22"/>
      <c r="G67" s="19" t="str">
        <f aca="false">CONCATENATE(A67,"-",C67,"-",E67)</f>
        <v>13-01-00</v>
      </c>
      <c r="H67" s="20" t="str">
        <f aca="false">CONCATENATE(B67," / ",D67,,IF(F67="",,CONCATENATE(" / ",F67)))</f>
        <v>logement et habitat / PLH - PDH</v>
      </c>
      <c r="I67" s="7"/>
    </row>
    <row r="68" customFormat="false" ht="15" hidden="false" customHeight="false" outlineLevel="0" collapsed="false">
      <c r="A68" s="15" t="n">
        <v>13</v>
      </c>
      <c r="B68" s="16" t="s">
        <v>115</v>
      </c>
      <c r="C68" s="15" t="s">
        <v>16</v>
      </c>
      <c r="D68" s="21" t="s">
        <v>117</v>
      </c>
      <c r="E68" s="15" t="s">
        <v>42</v>
      </c>
      <c r="F68" s="22"/>
      <c r="G68" s="19" t="str">
        <f aca="false">CONCATENATE(A68,"-",C68,"-",E68)</f>
        <v>13-02-00</v>
      </c>
      <c r="H68" s="20" t="str">
        <f aca="false">CONCATENATE(B68," / ",D68,,IF(F68="",,CONCATENATE(" / ",F68)))</f>
        <v>logement et habitat / police des immeubles menaçant ruine (IMR)</v>
      </c>
      <c r="I68" s="7"/>
    </row>
    <row r="69" customFormat="false" ht="15" hidden="false" customHeight="false" outlineLevel="0" collapsed="false">
      <c r="A69" s="15" t="n">
        <v>13</v>
      </c>
      <c r="B69" s="16" t="s">
        <v>115</v>
      </c>
      <c r="C69" s="15" t="s">
        <v>20</v>
      </c>
      <c r="D69" s="21" t="s">
        <v>118</v>
      </c>
      <c r="E69" s="15" t="s">
        <v>42</v>
      </c>
      <c r="F69" s="22"/>
      <c r="G69" s="19" t="str">
        <f aca="false">CONCATENATE(A69,"-",C69,"-",E69)</f>
        <v>13-03-00</v>
      </c>
      <c r="H69" s="20" t="str">
        <f aca="false">CONCATENATE(B69," / ",D69,,IF(F69="",,CONCATENATE(" / ",F69)))</f>
        <v>logement et habitat / police des établissements recevant du public (ERP)</v>
      </c>
      <c r="I69" s="7"/>
    </row>
    <row r="70" customFormat="false" ht="15" hidden="false" customHeight="false" outlineLevel="0" collapsed="false">
      <c r="A70" s="15" t="n">
        <v>13</v>
      </c>
      <c r="B70" s="16" t="s">
        <v>115</v>
      </c>
      <c r="C70" s="15" t="s">
        <v>25</v>
      </c>
      <c r="D70" s="21" t="s">
        <v>119</v>
      </c>
      <c r="E70" s="15" t="s">
        <v>42</v>
      </c>
      <c r="F70" s="22"/>
      <c r="G70" s="19" t="str">
        <f aca="false">CONCATENATE(A70,"-",C70,"-",E70)</f>
        <v>13-04-00</v>
      </c>
      <c r="H70" s="20" t="str">
        <f aca="false">CONCATENATE(B70," / ",D70,,IF(F70="",,CONCATENATE(" / ",F70)))</f>
        <v>logement et habitat / police des immeubles collectifs</v>
      </c>
      <c r="I70" s="7"/>
    </row>
    <row r="71" customFormat="false" ht="15" hidden="false" customHeight="false" outlineLevel="0" collapsed="false">
      <c r="A71" s="15" t="n">
        <v>13</v>
      </c>
      <c r="B71" s="16" t="s">
        <v>115</v>
      </c>
      <c r="C71" s="15" t="s">
        <v>29</v>
      </c>
      <c r="D71" s="21" t="s">
        <v>120</v>
      </c>
      <c r="E71" s="15" t="s">
        <v>42</v>
      </c>
      <c r="F71" s="22"/>
      <c r="G71" s="19" t="str">
        <f aca="false">CONCATENATE(A71,"-",C71,"-",E71)</f>
        <v>13-05-00</v>
      </c>
      <c r="H71" s="20" t="str">
        <f aca="false">CONCATENATE(B71," / ",D71,,IF(F71="",,CONCATENATE(" / ",F71)))</f>
        <v>logement et habitat / SPPEH</v>
      </c>
      <c r="I71" s="7"/>
    </row>
    <row r="72" customFormat="false" ht="15" hidden="false" customHeight="false" outlineLevel="0" collapsed="false">
      <c r="A72" s="15" t="n">
        <v>13</v>
      </c>
      <c r="B72" s="16" t="s">
        <v>115</v>
      </c>
      <c r="C72" s="15" t="s">
        <v>68</v>
      </c>
      <c r="D72" s="21" t="s">
        <v>121</v>
      </c>
      <c r="E72" s="15" t="s">
        <v>12</v>
      </c>
      <c r="F72" s="22" t="s">
        <v>122</v>
      </c>
      <c r="G72" s="19" t="str">
        <f aca="false">CONCATENATE(A72,"-",C72,"-",E72)</f>
        <v>13-06-01</v>
      </c>
      <c r="H72" s="20" t="str">
        <f aca="false">CONCATENATE(B72," / ",D72,,IF(F72="",,CONCATENATE(" / ",F72)))</f>
        <v>logement et habitat / aire d'accueil des gens du voyage / création et aménagement</v>
      </c>
      <c r="I72" s="7"/>
    </row>
    <row r="73" customFormat="false" ht="15" hidden="false" customHeight="false" outlineLevel="0" collapsed="false">
      <c r="A73" s="15" t="n">
        <v>13</v>
      </c>
      <c r="B73" s="16" t="s">
        <v>115</v>
      </c>
      <c r="C73" s="15" t="s">
        <v>68</v>
      </c>
      <c r="D73" s="21" t="s">
        <v>121</v>
      </c>
      <c r="E73" s="15" t="s">
        <v>16</v>
      </c>
      <c r="F73" s="22" t="s">
        <v>123</v>
      </c>
      <c r="G73" s="19" t="str">
        <f aca="false">CONCATENATE(A73,"-",C73,"-",E73)</f>
        <v>13-06-02</v>
      </c>
      <c r="H73" s="20" t="str">
        <f aca="false">CONCATENATE(B73," / ",D73,,IF(F73="",,CONCATENATE(" / ",F73)))</f>
        <v>logement et habitat / aire d'accueil des gens du voyage / entretien et gestion</v>
      </c>
      <c r="I73" s="7"/>
    </row>
    <row r="74" customFormat="false" ht="15" hidden="false" customHeight="false" outlineLevel="0" collapsed="false">
      <c r="A74" s="15" t="n">
        <v>14</v>
      </c>
      <c r="B74" s="16" t="s">
        <v>124</v>
      </c>
      <c r="C74" s="15" t="s">
        <v>12</v>
      </c>
      <c r="D74" s="21" t="s">
        <v>125</v>
      </c>
      <c r="E74" s="15" t="s">
        <v>42</v>
      </c>
      <c r="F74" s="22"/>
      <c r="G74" s="19" t="str">
        <f aca="false">CONCATENATE(A74,"-",C74,"-",E74)</f>
        <v>14-01-00</v>
      </c>
      <c r="H74" s="20" t="str">
        <f aca="false">CONCATENATE(B74," / ",D74,,IF(F74="",,CONCATENATE(" / ",F74)))</f>
        <v>environnement et patrimoine / inventaire patrimoine naturel</v>
      </c>
      <c r="I74" s="7"/>
    </row>
    <row r="75" customFormat="false" ht="15" hidden="false" customHeight="false" outlineLevel="0" collapsed="false">
      <c r="A75" s="15" t="n">
        <v>15</v>
      </c>
      <c r="B75" s="16" t="s">
        <v>126</v>
      </c>
      <c r="C75" s="15" t="s">
        <v>12</v>
      </c>
      <c r="D75" s="21" t="s">
        <v>127</v>
      </c>
      <c r="E75" s="15" t="s">
        <v>42</v>
      </c>
      <c r="F75" s="22"/>
      <c r="G75" s="19" t="str">
        <f aca="false">CONCATENATE(A75,"-",C75,"-",E75)</f>
        <v>15-01-00</v>
      </c>
      <c r="H75" s="20" t="str">
        <f aca="false">CONCATENATE(B75," / ",D75,,IF(F75="",,CONCATENATE(" / ",F75)))</f>
        <v>déchets / collecte</v>
      </c>
      <c r="I75" s="7"/>
    </row>
    <row r="76" customFormat="false" ht="15" hidden="false" customHeight="false" outlineLevel="0" collapsed="false">
      <c r="A76" s="15" t="n">
        <v>15</v>
      </c>
      <c r="B76" s="16" t="s">
        <v>126</v>
      </c>
      <c r="C76" s="15" t="s">
        <v>16</v>
      </c>
      <c r="D76" s="21" t="s">
        <v>128</v>
      </c>
      <c r="E76" s="15" t="s">
        <v>42</v>
      </c>
      <c r="F76" s="22"/>
      <c r="G76" s="19" t="str">
        <f aca="false">CONCATENATE(A76,"-",C76,"-",E76)</f>
        <v>15-02-00</v>
      </c>
      <c r="H76" s="20" t="str">
        <f aca="false">CONCATENATE(B76," / ",D76,,IF(F76="",,CONCATENATE(" / ",F76)))</f>
        <v>déchets / traitement</v>
      </c>
      <c r="I76" s="7"/>
    </row>
    <row r="77" customFormat="false" ht="15" hidden="false" customHeight="false" outlineLevel="0" collapsed="false">
      <c r="A77" s="15" t="n">
        <v>16</v>
      </c>
      <c r="B77" s="16" t="s">
        <v>129</v>
      </c>
      <c r="C77" s="15" t="s">
        <v>12</v>
      </c>
      <c r="D77" s="16" t="s">
        <v>130</v>
      </c>
      <c r="E77" s="15" t="s">
        <v>12</v>
      </c>
      <c r="F77" s="25" t="s">
        <v>131</v>
      </c>
      <c r="G77" s="19" t="str">
        <f aca="false">CONCATENATE(A77,"-",C77,"-",E77)</f>
        <v>16-01-01</v>
      </c>
      <c r="H77" s="20" t="str">
        <f aca="false">CONCATENATE(B77," / ",D77,,IF(F77="",,CONCATENATE(" / ",F77)))</f>
        <v>eau et assainissement / eau potable / captage</v>
      </c>
      <c r="I77" s="7"/>
    </row>
    <row r="78" customFormat="false" ht="15" hidden="false" customHeight="false" outlineLevel="0" collapsed="false">
      <c r="A78" s="15" t="n">
        <v>16</v>
      </c>
      <c r="B78" s="16" t="s">
        <v>129</v>
      </c>
      <c r="C78" s="15" t="s">
        <v>12</v>
      </c>
      <c r="D78" s="16" t="s">
        <v>130</v>
      </c>
      <c r="E78" s="15" t="s">
        <v>16</v>
      </c>
      <c r="F78" s="25" t="s">
        <v>132</v>
      </c>
      <c r="G78" s="19" t="str">
        <f aca="false">CONCATENATE(A78,"-",C78,"-",E78)</f>
        <v>16-01-02</v>
      </c>
      <c r="H78" s="20" t="str">
        <f aca="false">CONCATENATE(B78," / ",D78,,IF(F78="",,CONCATENATE(" / ",F78)))</f>
        <v>eau et assainissement / eau potable / stockage</v>
      </c>
      <c r="I78" s="7"/>
    </row>
    <row r="79" customFormat="false" ht="15" hidden="false" customHeight="false" outlineLevel="0" collapsed="false">
      <c r="A79" s="15" t="n">
        <v>16</v>
      </c>
      <c r="B79" s="16" t="s">
        <v>129</v>
      </c>
      <c r="C79" s="15" t="s">
        <v>12</v>
      </c>
      <c r="D79" s="16" t="s">
        <v>130</v>
      </c>
      <c r="E79" s="15" t="s">
        <v>20</v>
      </c>
      <c r="F79" s="25" t="s">
        <v>133</v>
      </c>
      <c r="G79" s="19" t="str">
        <f aca="false">CONCATENATE(A79,"-",C79,"-",E79)</f>
        <v>16-01-03</v>
      </c>
      <c r="H79" s="20" t="str">
        <f aca="false">CONCATENATE(B79," / ",D79,,IF(F79="",,CONCATENATE(" / ",F79)))</f>
        <v>eau et assainissement / eau potable / transport</v>
      </c>
      <c r="I79" s="7"/>
    </row>
    <row r="80" customFormat="false" ht="15" hidden="false" customHeight="false" outlineLevel="0" collapsed="false">
      <c r="A80" s="15" t="n">
        <v>16</v>
      </c>
      <c r="B80" s="16" t="s">
        <v>129</v>
      </c>
      <c r="C80" s="15" t="s">
        <v>12</v>
      </c>
      <c r="D80" s="16" t="s">
        <v>130</v>
      </c>
      <c r="E80" s="15" t="s">
        <v>25</v>
      </c>
      <c r="F80" s="25" t="s">
        <v>134</v>
      </c>
      <c r="G80" s="19" t="str">
        <f aca="false">CONCATENATE(A80,"-",C80,"-",E80)</f>
        <v>16-01-04</v>
      </c>
      <c r="H80" s="20" t="str">
        <f aca="false">CONCATENATE(B80," / ",D80,,IF(F80="",,CONCATENATE(" / ",F80)))</f>
        <v>eau et assainissement / eau potable / distribution</v>
      </c>
      <c r="I80" s="7"/>
    </row>
    <row r="81" customFormat="false" ht="15" hidden="false" customHeight="false" outlineLevel="0" collapsed="false">
      <c r="A81" s="15" t="n">
        <v>16</v>
      </c>
      <c r="B81" s="16" t="s">
        <v>129</v>
      </c>
      <c r="C81" s="15" t="s">
        <v>16</v>
      </c>
      <c r="D81" s="16" t="s">
        <v>135</v>
      </c>
      <c r="E81" s="15" t="s">
        <v>12</v>
      </c>
      <c r="F81" s="25" t="s">
        <v>127</v>
      </c>
      <c r="G81" s="19" t="str">
        <f aca="false">CONCATENATE(A81,"-",C81,"-",E81)</f>
        <v>16-02-01</v>
      </c>
      <c r="H81" s="20" t="str">
        <f aca="false">CONCATENATE(B81," / ",D81,,IF(F81="",,CONCATENATE(" / ",F81)))</f>
        <v>eau et assainissement / assainissement collectif / collecte</v>
      </c>
      <c r="I81" s="7"/>
    </row>
    <row r="82" customFormat="false" ht="15" hidden="false" customHeight="false" outlineLevel="0" collapsed="false">
      <c r="A82" s="15" t="n">
        <v>16</v>
      </c>
      <c r="B82" s="16" t="s">
        <v>129</v>
      </c>
      <c r="C82" s="15" t="s">
        <v>16</v>
      </c>
      <c r="D82" s="16" t="s">
        <v>135</v>
      </c>
      <c r="E82" s="15" t="s">
        <v>16</v>
      </c>
      <c r="F82" s="25" t="s">
        <v>133</v>
      </c>
      <c r="G82" s="19" t="str">
        <f aca="false">CONCATENATE(A82,"-",C82,"-",E82)</f>
        <v>16-02-02</v>
      </c>
      <c r="H82" s="20" t="str">
        <f aca="false">CONCATENATE(B82," / ",D82,,IF(F82="",,CONCATENATE(" / ",F82)))</f>
        <v>eau et assainissement / assainissement collectif / transport</v>
      </c>
      <c r="I82" s="7"/>
    </row>
    <row r="83" customFormat="false" ht="15" hidden="false" customHeight="false" outlineLevel="0" collapsed="false">
      <c r="A83" s="15" t="n">
        <v>16</v>
      </c>
      <c r="B83" s="16" t="s">
        <v>129</v>
      </c>
      <c r="C83" s="15" t="s">
        <v>16</v>
      </c>
      <c r="D83" s="16" t="s">
        <v>135</v>
      </c>
      <c r="E83" s="15" t="s">
        <v>20</v>
      </c>
      <c r="F83" s="25" t="s">
        <v>136</v>
      </c>
      <c r="G83" s="19" t="str">
        <f aca="false">CONCATENATE(A83,"-",C83,"-",E83)</f>
        <v>16-02-03</v>
      </c>
      <c r="H83" s="20" t="str">
        <f aca="false">CONCATENATE(B83," / ",D83,,IF(F83="",,CONCATENATE(" / ",F83)))</f>
        <v>eau et assainissement / assainissement collectif / épuration</v>
      </c>
      <c r="I83" s="7"/>
    </row>
    <row r="84" customFormat="false" ht="15" hidden="false" customHeight="false" outlineLevel="0" collapsed="false">
      <c r="A84" s="15" t="n">
        <v>16</v>
      </c>
      <c r="B84" s="16" t="s">
        <v>129</v>
      </c>
      <c r="C84" s="15" t="s">
        <v>16</v>
      </c>
      <c r="D84" s="16" t="s">
        <v>135</v>
      </c>
      <c r="E84" s="15" t="s">
        <v>25</v>
      </c>
      <c r="F84" s="25" t="s">
        <v>137</v>
      </c>
      <c r="G84" s="19" t="str">
        <f aca="false">CONCATENATE(A84,"-",C84,"-",E84)</f>
        <v>16-02-04</v>
      </c>
      <c r="H84" s="20" t="str">
        <f aca="false">CONCATENATE(B84," / ",D84,,IF(F84="",,CONCATENATE(" / ",F84)))</f>
        <v>eau et assainissement / assainissement collectif / élimination des boues</v>
      </c>
      <c r="I84" s="7"/>
    </row>
    <row r="85" customFormat="false" ht="15" hidden="false" customHeight="false" outlineLevel="0" collapsed="false">
      <c r="A85" s="15" t="n">
        <v>16</v>
      </c>
      <c r="B85" s="16" t="s">
        <v>129</v>
      </c>
      <c r="C85" s="15" t="s">
        <v>20</v>
      </c>
      <c r="D85" s="16" t="s">
        <v>138</v>
      </c>
      <c r="E85" s="15" t="s">
        <v>42</v>
      </c>
      <c r="F85" s="22"/>
      <c r="G85" s="19" t="str">
        <f aca="false">CONCATENATE(A85,"-",C85,"-",E85)</f>
        <v>16-03-00</v>
      </c>
      <c r="H85" s="20" t="str">
        <f aca="false">CONCATENATE(B85," / ",D85,,IF(F85="",,CONCATENATE(" / ",F85)))</f>
        <v>eau et assainissement / assainissement non collectif</v>
      </c>
      <c r="I85" s="7"/>
    </row>
    <row r="86" customFormat="false" ht="15" hidden="false" customHeight="false" outlineLevel="0" collapsed="false">
      <c r="A86" s="15" t="n">
        <v>16</v>
      </c>
      <c r="B86" s="16" t="s">
        <v>129</v>
      </c>
      <c r="C86" s="15" t="s">
        <v>25</v>
      </c>
      <c r="D86" s="16" t="s">
        <v>139</v>
      </c>
      <c r="E86" s="15" t="s">
        <v>42</v>
      </c>
      <c r="F86" s="22"/>
      <c r="G86" s="19" t="str">
        <f aca="false">CONCATENATE(A86,"-",C86,"-",E86)</f>
        <v>16-04-00</v>
      </c>
      <c r="H86" s="20" t="str">
        <f aca="false">CONCATENATE(B86," / ",D86,,IF(F86="",,CONCATENATE(" / ",F86)))</f>
        <v>eau et assainissement / gestion des milieux aquatiques et prévention des inondations (GEMAPI)</v>
      </c>
      <c r="I86" s="7"/>
    </row>
    <row r="87" customFormat="false" ht="15" hidden="false" customHeight="false" outlineLevel="0" collapsed="false">
      <c r="A87" s="15" t="n">
        <v>16</v>
      </c>
      <c r="B87" s="16" t="s">
        <v>129</v>
      </c>
      <c r="C87" s="15" t="s">
        <v>29</v>
      </c>
      <c r="D87" s="16" t="s">
        <v>140</v>
      </c>
      <c r="E87" s="15" t="s">
        <v>42</v>
      </c>
      <c r="F87" s="22"/>
      <c r="G87" s="19" t="str">
        <f aca="false">CONCATENATE(A87,"-",C87,"-",E87)</f>
        <v>16-05-00</v>
      </c>
      <c r="H87" s="20" t="str">
        <f aca="false">CONCATENATE(B87," / ",D87,,IF(F87="",,CONCATENATE(" / ",F87)))</f>
        <v>eau et assainissement / gestion des eaux pluviales urbaines</v>
      </c>
      <c r="I87" s="7"/>
    </row>
    <row r="88" customFormat="false" ht="15" hidden="false" customHeight="false" outlineLevel="0" collapsed="false">
      <c r="A88" s="15" t="n">
        <v>16</v>
      </c>
      <c r="B88" s="16" t="s">
        <v>129</v>
      </c>
      <c r="C88" s="15" t="s">
        <v>68</v>
      </c>
      <c r="D88" s="16" t="s">
        <v>141</v>
      </c>
      <c r="E88" s="15" t="s">
        <v>42</v>
      </c>
      <c r="F88" s="22"/>
      <c r="G88" s="19" t="str">
        <f aca="false">CONCATENATE(A88,"-",C88,"-",E88)</f>
        <v>16-06-00</v>
      </c>
      <c r="H88" s="20" t="str">
        <f aca="false">CONCATENATE(B88," / ",D88,,IF(F88="",,CONCATENATE(" / ",F88)))</f>
        <v>eau et assainissement / gestion des eaux pluviales péri-urbaines</v>
      </c>
      <c r="I88" s="7"/>
    </row>
    <row r="89" customFormat="false" ht="15" hidden="false" customHeight="false" outlineLevel="0" collapsed="false">
      <c r="A89" s="15" t="n">
        <v>17</v>
      </c>
      <c r="B89" s="16" t="s">
        <v>142</v>
      </c>
      <c r="C89" s="15" t="s">
        <v>12</v>
      </c>
      <c r="D89" s="21" t="s">
        <v>143</v>
      </c>
      <c r="E89" s="15" t="s">
        <v>42</v>
      </c>
      <c r="F89" s="22"/>
      <c r="G89" s="19" t="str">
        <f aca="false">CONCATENATE(A89,"-",C89,"-",E89)</f>
        <v>17-01-00</v>
      </c>
      <c r="H89" s="20" t="str">
        <f aca="false">CONCATENATE(B89," / ",D89,,IF(F89="",,CONCATENATE(" / ",F89)))</f>
        <v>réseaux câbles et télécommunications / télévision locale</v>
      </c>
      <c r="I89" s="7"/>
    </row>
    <row r="90" customFormat="false" ht="15" hidden="false" customHeight="false" outlineLevel="0" collapsed="false">
      <c r="A90" s="15" t="n">
        <v>17</v>
      </c>
      <c r="B90" s="16" t="s">
        <v>142</v>
      </c>
      <c r="C90" s="15" t="s">
        <v>16</v>
      </c>
      <c r="D90" s="21" t="s">
        <v>144</v>
      </c>
      <c r="E90" s="15" t="s">
        <v>42</v>
      </c>
      <c r="F90" s="22"/>
      <c r="G90" s="19" t="str">
        <f aca="false">CONCATENATE(A90,"-",C90,"-",E90)</f>
        <v>17-02-00</v>
      </c>
      <c r="H90" s="20" t="str">
        <f aca="false">CONCATENATE(B90," / ",D90,,IF(F90="",,CONCATENATE(" / ",F90)))</f>
        <v>réseaux câbles et télécommunications / déploiement réseau?</v>
      </c>
      <c r="I90" s="7"/>
    </row>
    <row r="91" customFormat="false" ht="15" hidden="false" customHeight="false" outlineLevel="0" collapsed="false">
      <c r="A91" s="15" t="n">
        <v>17</v>
      </c>
      <c r="B91" s="16" t="s">
        <v>142</v>
      </c>
      <c r="C91" s="15" t="s">
        <v>20</v>
      </c>
      <c r="D91" s="21" t="s">
        <v>145</v>
      </c>
      <c r="E91" s="15" t="s">
        <v>42</v>
      </c>
      <c r="F91" s="22"/>
      <c r="G91" s="19" t="str">
        <f aca="false">CONCATENATE(A91,"-",C91,"-",E91)</f>
        <v>17-03-00</v>
      </c>
      <c r="H91" s="20" t="str">
        <f aca="false">CONCATENATE(B91," / ",D91,,IF(F91="",,CONCATENATE(" / ",F91)))</f>
        <v>réseaux câbles et télécommunications / réseau prive</v>
      </c>
      <c r="I91" s="7"/>
    </row>
    <row r="92" customFormat="false" ht="15" hidden="false" customHeight="false" outlineLevel="0" collapsed="false">
      <c r="A92" s="15" t="n">
        <v>18</v>
      </c>
      <c r="B92" s="16" t="s">
        <v>146</v>
      </c>
      <c r="C92" s="15" t="s">
        <v>12</v>
      </c>
      <c r="D92" s="21" t="s">
        <v>147</v>
      </c>
      <c r="E92" s="15" t="s">
        <v>12</v>
      </c>
      <c r="F92" s="22" t="s">
        <v>148</v>
      </c>
      <c r="G92" s="19" t="str">
        <f aca="false">CONCATENATE(A92,"-",C92,"-",E92)</f>
        <v>18-01-01</v>
      </c>
      <c r="H92" s="20" t="str">
        <f aca="false">CONCATENATE(B92," / ",D92,,IF(F92="",,CONCATENATE(" / ",F92)))</f>
        <v>énergie / production d’énergie de sources renouvelables / aménagement</v>
      </c>
      <c r="I92" s="7"/>
    </row>
    <row r="93" customFormat="false" ht="15" hidden="false" customHeight="false" outlineLevel="0" collapsed="false">
      <c r="A93" s="15" t="n">
        <v>18</v>
      </c>
      <c r="B93" s="16" t="s">
        <v>146</v>
      </c>
      <c r="C93" s="15" t="s">
        <v>12</v>
      </c>
      <c r="D93" s="21" t="s">
        <v>147</v>
      </c>
      <c r="E93" s="15" t="s">
        <v>16</v>
      </c>
      <c r="F93" s="22" t="s">
        <v>28</v>
      </c>
      <c r="G93" s="19" t="str">
        <f aca="false">CONCATENATE(A93,"-",C93,"-",E93)</f>
        <v>18-01-02</v>
      </c>
      <c r="H93" s="20" t="str">
        <f aca="false">CONCATENATE(B93," / ",D93,,IF(F93="",,CONCATENATE(" / ",F93)))</f>
        <v>énergie / production d’énergie de sources renouvelables / exploitation</v>
      </c>
      <c r="I93" s="7"/>
    </row>
    <row r="94" customFormat="false" ht="15" hidden="false" customHeight="false" outlineLevel="0" collapsed="false">
      <c r="A94" s="15" t="n">
        <v>18</v>
      </c>
      <c r="B94" s="16" t="s">
        <v>146</v>
      </c>
      <c r="C94" s="15" t="s">
        <v>16</v>
      </c>
      <c r="D94" s="21" t="s">
        <v>149</v>
      </c>
      <c r="E94" s="15" t="s">
        <v>12</v>
      </c>
      <c r="F94" s="22" t="s">
        <v>39</v>
      </c>
      <c r="G94" s="19" t="str">
        <f aca="false">CONCATENATE(A94,"-",C94,"-",E94)</f>
        <v>18-02-01</v>
      </c>
      <c r="H94" s="20" t="str">
        <f aca="false">CONCATENATE(B94," / ",D94,,IF(F94="",,CONCATENATE(" / ",F94)))</f>
        <v>énergie / infrastructure de charge des véhicules électriques / création</v>
      </c>
      <c r="I94" s="23"/>
    </row>
    <row r="95" customFormat="false" ht="15" hidden="false" customHeight="false" outlineLevel="0" collapsed="false">
      <c r="A95" s="15" t="n">
        <v>18</v>
      </c>
      <c r="B95" s="16" t="s">
        <v>146</v>
      </c>
      <c r="C95" s="15" t="s">
        <v>20</v>
      </c>
      <c r="D95" s="21" t="s">
        <v>150</v>
      </c>
      <c r="E95" s="15" t="s">
        <v>42</v>
      </c>
      <c r="F95" s="22"/>
      <c r="G95" s="19" t="str">
        <f aca="false">CONCATENATE(A95,"-",C95,"-",E95)</f>
        <v>18-03-00</v>
      </c>
      <c r="H95" s="20" t="str">
        <f aca="false">CONCATENATE(B95," / ",D95,,IF(F95="",,CONCATENATE(" / ",F95)))</f>
        <v>énergie / plan climat-air-énergie territorial (PCAET)</v>
      </c>
      <c r="I95" s="7"/>
    </row>
    <row r="96" customFormat="false" ht="15" hidden="false" customHeight="false" outlineLevel="0" collapsed="false">
      <c r="A96" s="15" t="n">
        <v>18</v>
      </c>
      <c r="B96" s="16" t="s">
        <v>146</v>
      </c>
      <c r="C96" s="15" t="s">
        <v>25</v>
      </c>
      <c r="D96" s="21" t="s">
        <v>151</v>
      </c>
      <c r="E96" s="15" t="s">
        <v>42</v>
      </c>
      <c r="F96" s="22"/>
      <c r="G96" s="19" t="str">
        <f aca="false">CONCATENATE(A96,"-",C96,"-",E96)</f>
        <v>18-04-00</v>
      </c>
      <c r="H96" s="20" t="str">
        <f aca="false">CONCATENATE(B96," / ",D96,,IF(F96="",,CONCATENATE(" / ",F96)))</f>
        <v>énergie / réseau de chaleur</v>
      </c>
      <c r="I96" s="7"/>
    </row>
    <row r="97" customFormat="false" ht="15" hidden="false" customHeight="false" outlineLevel="0" collapsed="false">
      <c r="A97" s="15" t="n">
        <v>19</v>
      </c>
      <c r="B97" s="16" t="s">
        <v>152</v>
      </c>
      <c r="C97" s="15" t="s">
        <v>12</v>
      </c>
      <c r="D97" s="16" t="s">
        <v>153</v>
      </c>
      <c r="E97" s="15" t="s">
        <v>42</v>
      </c>
      <c r="F97" s="22"/>
      <c r="G97" s="19" t="str">
        <f aca="false">CONCATENATE(A97,"-",C97,"-",E97)</f>
        <v>19-01-00</v>
      </c>
      <c r="H97" s="20" t="str">
        <f aca="false">CONCATENATE(B97," / ",D97,,IF(F97="",,CONCATENATE(" / ",F97)))</f>
        <v>ports voies d’eau et liaisons maritimes / exploitation des ports de plaisance</v>
      </c>
      <c r="I97" s="7"/>
    </row>
    <row r="98" customFormat="false" ht="15" hidden="false" customHeight="false" outlineLevel="0" collapsed="false">
      <c r="A98" s="15" t="n">
        <v>19</v>
      </c>
      <c r="B98" s="16" t="s">
        <v>152</v>
      </c>
      <c r="C98" s="15" t="s">
        <v>16</v>
      </c>
      <c r="D98" s="16" t="s">
        <v>154</v>
      </c>
      <c r="E98" s="15" t="s">
        <v>42</v>
      </c>
      <c r="F98" s="22"/>
      <c r="G98" s="19" t="str">
        <f aca="false">CONCATENATE(A98,"-",C98,"-",E98)</f>
        <v>19-02-00</v>
      </c>
      <c r="H98" s="20" t="str">
        <f aca="false">CONCATENATE(B98," / ",D98,,IF(F98="",,CONCATENATE(" / ",F98)))</f>
        <v>ports voies d’eau et liaisons maritimes / exploitation des ports de pêche</v>
      </c>
      <c r="I98" s="7"/>
    </row>
    <row r="99" customFormat="false" ht="15" hidden="false" customHeight="false" outlineLevel="0" collapsed="false">
      <c r="A99" s="15" t="n">
        <v>19</v>
      </c>
      <c r="B99" s="16" t="s">
        <v>152</v>
      </c>
      <c r="C99" s="15" t="s">
        <v>20</v>
      </c>
      <c r="D99" s="16" t="s">
        <v>155</v>
      </c>
      <c r="E99" s="15" t="s">
        <v>42</v>
      </c>
      <c r="F99" s="22"/>
      <c r="G99" s="19" t="str">
        <f aca="false">CONCATENATE(A99,"-",C99,"-",E99)</f>
        <v>19-03-00</v>
      </c>
      <c r="H99" s="20" t="str">
        <f aca="false">CONCATENATE(B99," / ",D99,,IF(F99="",,CONCATENATE(" / ",F99)))</f>
        <v>ports voies d’eau et liaisons maritimes / desserte des îles côtières</v>
      </c>
      <c r="I99" s="7"/>
    </row>
    <row r="100" customFormat="false" ht="15" hidden="false" customHeight="false" outlineLevel="0" collapsed="false">
      <c r="A100" s="15" t="n">
        <v>20</v>
      </c>
      <c r="B100" s="16" t="s">
        <v>156</v>
      </c>
      <c r="C100" s="15" t="s">
        <v>12</v>
      </c>
      <c r="D100" s="16" t="s">
        <v>157</v>
      </c>
      <c r="E100" s="15" t="s">
        <v>42</v>
      </c>
      <c r="F100" s="22"/>
      <c r="G100" s="19" t="str">
        <f aca="false">CONCATENATE(A100,"-",C100,"-",E100)</f>
        <v>20-01-00</v>
      </c>
      <c r="H100" s="20" t="str">
        <f aca="false">CONCATENATE(B100," / ",D100,,IF(F100="",,CONCATENATE(" / ",F100)))</f>
        <v>aérodromes / exploitation aéroport</v>
      </c>
      <c r="I100" s="7"/>
    </row>
    <row r="101" customFormat="false" ht="15" hidden="false" customHeight="false" outlineLevel="0" collapsed="false">
      <c r="A101" s="15" t="n">
        <v>21</v>
      </c>
      <c r="B101" s="16" t="s">
        <v>158</v>
      </c>
      <c r="C101" s="15" t="s">
        <v>12</v>
      </c>
      <c r="D101" s="16" t="s">
        <v>159</v>
      </c>
      <c r="E101" s="15" t="s">
        <v>42</v>
      </c>
      <c r="F101" s="22"/>
      <c r="G101" s="19" t="str">
        <f aca="false">CONCATENATE(A101,"-",C101,"-",E101)</f>
        <v>21-01-00</v>
      </c>
      <c r="H101" s="20" t="str">
        <f aca="false">CONCATENATE(B101," / ",D101,,IF(F101="",,CONCATENATE(" / ",F101)))</f>
        <v>transports scolaires / autorité organisatrice des mobilités (AOM)</v>
      </c>
      <c r="I101" s="7"/>
    </row>
    <row r="102" customFormat="false" ht="15" hidden="false" customHeight="false" outlineLevel="0" collapsed="false">
      <c r="A102" s="15" t="n">
        <v>22</v>
      </c>
      <c r="B102" s="16" t="s">
        <v>160</v>
      </c>
      <c r="C102" s="15" t="s">
        <v>12</v>
      </c>
      <c r="D102" s="16" t="s">
        <v>159</v>
      </c>
      <c r="E102" s="15" t="s">
        <v>42</v>
      </c>
      <c r="F102" s="22"/>
      <c r="G102" s="19" t="str">
        <f aca="false">CONCATENATE(A102,"-",C102,"-",E102)</f>
        <v>22-01-00</v>
      </c>
      <c r="H102" s="20" t="str">
        <f aca="false">CONCATENATE(B102," / ",D102,,IF(F102="",,CONCATENATE(" / ",F102)))</f>
        <v>transports publics / autorité organisatrice des mobilités (AOM)</v>
      </c>
      <c r="I102" s="7"/>
    </row>
    <row r="103" customFormat="false" ht="15" hidden="false" customHeight="false" outlineLevel="0" collapsed="false">
      <c r="A103" s="15" t="n">
        <v>23</v>
      </c>
      <c r="B103" s="16" t="s">
        <v>161</v>
      </c>
      <c r="C103" s="15" t="s">
        <v>12</v>
      </c>
      <c r="D103" s="16" t="s">
        <v>162</v>
      </c>
      <c r="E103" s="15" t="s">
        <v>42</v>
      </c>
      <c r="F103" s="22"/>
      <c r="G103" s="19" t="str">
        <f aca="false">CONCATENATE(A103,"-",C103,"-",E103)</f>
        <v>23-01-00</v>
      </c>
      <c r="H103" s="20" t="str">
        <f aca="false">CONCATENATE(B103," / ",D103,,IF(F103="",,CONCATENATE(" / ",F103)))</f>
        <v>voirie / communale</v>
      </c>
      <c r="I103" s="7"/>
    </row>
    <row r="104" customFormat="false" ht="15" hidden="false" customHeight="false" outlineLevel="0" collapsed="false">
      <c r="A104" s="15" t="n">
        <v>23</v>
      </c>
      <c r="B104" s="16" t="s">
        <v>161</v>
      </c>
      <c r="C104" s="15" t="s">
        <v>16</v>
      </c>
      <c r="D104" s="16" t="s">
        <v>163</v>
      </c>
      <c r="E104" s="15" t="s">
        <v>42</v>
      </c>
      <c r="F104" s="22"/>
      <c r="G104" s="19" t="str">
        <f aca="false">CONCATENATE(A104,"-",C104,"-",E104)</f>
        <v>23-02-00</v>
      </c>
      <c r="H104" s="20" t="str">
        <f aca="false">CONCATENATE(B104," / ",D104,,IF(F104="",,CONCATENATE(" / ",F104)))</f>
        <v>voirie / chemins ruraux et domaine prive de la commune</v>
      </c>
      <c r="I104" s="7"/>
    </row>
    <row r="105" customFormat="false" ht="15" hidden="false" customHeight="false" outlineLevel="0" collapsed="false">
      <c r="A105" s="15" t="n">
        <v>23</v>
      </c>
      <c r="B105" s="16" t="s">
        <v>161</v>
      </c>
      <c r="C105" s="15" t="s">
        <v>20</v>
      </c>
      <c r="D105" s="16" t="s">
        <v>164</v>
      </c>
      <c r="E105" s="15" t="s">
        <v>42</v>
      </c>
      <c r="F105" s="22"/>
      <c r="G105" s="19" t="str">
        <f aca="false">CONCATENATE(A105,"-",C105,"-",E105)</f>
        <v>23-03-00</v>
      </c>
      <c r="H105" s="20" t="str">
        <f aca="false">CONCATENATE(B105," / ",D105,,IF(F105="",,CONCATENATE(" / ",F105)))</f>
        <v>voirie / intercommunale</v>
      </c>
      <c r="I105" s="7"/>
    </row>
    <row r="106" customFormat="false" ht="15" hidden="false" customHeight="false" outlineLevel="0" collapsed="false">
      <c r="A106" s="15" t="n">
        <v>23</v>
      </c>
      <c r="B106" s="16" t="s">
        <v>161</v>
      </c>
      <c r="C106" s="15" t="s">
        <v>25</v>
      </c>
      <c r="D106" s="16" t="s">
        <v>165</v>
      </c>
      <c r="E106" s="15" t="s">
        <v>42</v>
      </c>
      <c r="F106" s="22"/>
      <c r="G106" s="19" t="str">
        <f aca="false">CONCATENATE(A106,"-",C106,"-",E106)</f>
        <v>23-04-00</v>
      </c>
      <c r="H106" s="20" t="str">
        <f aca="false">CONCATENATE(B106," / ",D106,,IF(F106="",,CONCATENATE(" / ",F106)))</f>
        <v>voirie / voies vertes</v>
      </c>
      <c r="I106" s="7"/>
    </row>
    <row r="107" customFormat="false" ht="15" hidden="false" customHeight="false" outlineLevel="0" collapsed="false">
      <c r="A107" s="15" t="n">
        <v>24</v>
      </c>
      <c r="B107" s="16" t="s">
        <v>166</v>
      </c>
      <c r="C107" s="15" t="s">
        <v>12</v>
      </c>
      <c r="D107" s="16" t="s">
        <v>167</v>
      </c>
      <c r="E107" s="15" t="s">
        <v>42</v>
      </c>
      <c r="F107" s="22"/>
      <c r="G107" s="19" t="str">
        <f aca="false">CONCATENATE(A107,"-",C107,"-",E107)</f>
        <v>24-01-00</v>
      </c>
      <c r="H107" s="20" t="str">
        <f aca="false">CONCATENATE(B107," / ",D107,,IF(F107="",,CONCATENATE(" / ",F107)))</f>
        <v>funéraire / gestion des cimetières</v>
      </c>
      <c r="I107" s="7"/>
    </row>
    <row r="108" customFormat="false" ht="15" hidden="false" customHeight="false" outlineLevel="0" collapsed="false">
      <c r="A108" s="15" t="n">
        <v>24</v>
      </c>
      <c r="B108" s="16" t="s">
        <v>166</v>
      </c>
      <c r="C108" s="15" t="s">
        <v>16</v>
      </c>
      <c r="D108" s="16" t="s">
        <v>168</v>
      </c>
      <c r="E108" s="15" t="s">
        <v>42</v>
      </c>
      <c r="F108" s="22"/>
      <c r="G108" s="19" t="str">
        <f aca="false">CONCATENATE(A108,"-",C108,"-",E108)</f>
        <v>24-02-00</v>
      </c>
      <c r="H108" s="20" t="str">
        <f aca="false">CONCATENATE(B108," / ",D108,,IF(F108="",,CONCATENATE(" / ",F108)))</f>
        <v>funéraire / police des funérailles et des cimetières</v>
      </c>
      <c r="I108" s="7"/>
    </row>
    <row r="109" customFormat="false" ht="15" hidden="false" customHeight="false" outlineLevel="0" collapsed="false">
      <c r="A109" s="15" t="n">
        <v>24</v>
      </c>
      <c r="B109" s="16" t="s">
        <v>166</v>
      </c>
      <c r="C109" s="15" t="s">
        <v>20</v>
      </c>
      <c r="D109" s="16" t="s">
        <v>169</v>
      </c>
      <c r="E109" s="15" t="s">
        <v>42</v>
      </c>
      <c r="F109" s="22"/>
      <c r="G109" s="19" t="str">
        <f aca="false">CONCATENATE(A109,"-",C109,"-",E109)</f>
        <v>24-03-00</v>
      </c>
      <c r="H109" s="20" t="str">
        <f aca="false">CONCATENATE(B109," / ",D109,,IF(F109="",,CONCATENATE(" / ",F109)))</f>
        <v>funéraire / service des pompes funèbres</v>
      </c>
      <c r="I109" s="7"/>
    </row>
  </sheetData>
  <mergeCells count="4">
    <mergeCell ref="A1:B1"/>
    <mergeCell ref="C1:D1"/>
    <mergeCell ref="E1:F1"/>
    <mergeCell ref="G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2026-06-18T07:36:41Z</dcterms:created>
  <dc:creator>CHAPITEAU Karine</dc:creator>
  <dc:description/>
  <dc:language>fr-FR</dc:language>
  <cp:lastModifiedBy>Arnauld Gallais</cp:lastModifiedBy>
  <dcterms:modified xsi:type="dcterms:W3CDTF">2026-06-25T14:53:25Z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